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4F6E8EB6-9162-4723-BAB0-C14184010C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 ECOLE CEP 2025 HS" sheetId="4" r:id="rId1"/>
    <sheet name="STAT ECOLE FSLC 2025 HS" sheetId="5" r:id="rId2"/>
    <sheet name="STAT ECOLE CEE 2025 HS" sheetId="6" r:id="rId3"/>
    <sheet name="Feuil1" sheetId="1" r:id="rId4"/>
    <sheet name="Feuil2" sheetId="2" r:id="rId5"/>
    <sheet name="Feuil3" sheetId="3" r:id="rId6"/>
  </sheets>
  <calcPr calcId="181029"/>
</workbook>
</file>

<file path=xl/calcChain.xml><?xml version="1.0" encoding="utf-8"?>
<calcChain xmlns="http://schemas.openxmlformats.org/spreadsheetml/2006/main">
  <c r="F40" i="4" l="1"/>
  <c r="G39" i="4"/>
  <c r="U39" i="4"/>
  <c r="E40" i="4"/>
  <c r="T39" i="4"/>
  <c r="G175" i="4"/>
  <c r="U175" i="4"/>
  <c r="T175" i="4"/>
  <c r="G52" i="4" l="1"/>
  <c r="G59" i="4"/>
  <c r="U59" i="4"/>
  <c r="T59" i="4"/>
  <c r="U60" i="4"/>
  <c r="T60" i="4"/>
  <c r="S60" i="4"/>
  <c r="P60" i="4"/>
  <c r="M60" i="4"/>
  <c r="J60" i="4"/>
  <c r="G60" i="4"/>
  <c r="S23" i="6"/>
  <c r="S24" i="6" s="1"/>
  <c r="R23" i="6"/>
  <c r="R24" i="6" s="1"/>
  <c r="P23" i="6"/>
  <c r="P24" i="6" s="1"/>
  <c r="O23" i="6"/>
  <c r="O24" i="6" s="1"/>
  <c r="M23" i="6"/>
  <c r="M24" i="6" s="1"/>
  <c r="L23" i="6"/>
  <c r="L24" i="6" s="1"/>
  <c r="J23" i="6"/>
  <c r="J24" i="6" s="1"/>
  <c r="I23" i="6"/>
  <c r="I24" i="6" s="1"/>
  <c r="G23" i="6"/>
  <c r="G24" i="6" s="1"/>
  <c r="F23" i="6"/>
  <c r="F24" i="6" s="1"/>
  <c r="V22" i="6"/>
  <c r="U22" i="6"/>
  <c r="T22" i="6"/>
  <c r="Q22" i="6"/>
  <c r="N22" i="6"/>
  <c r="K22" i="6"/>
  <c r="H22" i="6"/>
  <c r="V21" i="6"/>
  <c r="U21" i="6"/>
  <c r="T21" i="6"/>
  <c r="Q21" i="6"/>
  <c r="N21" i="6"/>
  <c r="K21" i="6"/>
  <c r="H21" i="6"/>
  <c r="V20" i="6"/>
  <c r="U20" i="6"/>
  <c r="T20" i="6"/>
  <c r="Q20" i="6"/>
  <c r="N20" i="6"/>
  <c r="K20" i="6"/>
  <c r="H20" i="6"/>
  <c r="V19" i="6"/>
  <c r="U19" i="6"/>
  <c r="T19" i="6"/>
  <c r="Q19" i="6"/>
  <c r="N19" i="6"/>
  <c r="K19" i="6"/>
  <c r="H19" i="6"/>
  <c r="S17" i="6"/>
  <c r="S18" i="6" s="1"/>
  <c r="R17" i="6"/>
  <c r="R18" i="6" s="1"/>
  <c r="P17" i="6"/>
  <c r="P18" i="6" s="1"/>
  <c r="O17" i="6"/>
  <c r="O18" i="6" s="1"/>
  <c r="M17" i="6"/>
  <c r="M18" i="6" s="1"/>
  <c r="L17" i="6"/>
  <c r="L18" i="6" s="1"/>
  <c r="J17" i="6"/>
  <c r="J18" i="6" s="1"/>
  <c r="I17" i="6"/>
  <c r="I18" i="6" s="1"/>
  <c r="G17" i="6"/>
  <c r="G18" i="6" s="1"/>
  <c r="F17" i="6"/>
  <c r="F18" i="6" s="1"/>
  <c r="U18" i="6" s="1"/>
  <c r="V16" i="6"/>
  <c r="U16" i="6"/>
  <c r="T16" i="6"/>
  <c r="Q16" i="6"/>
  <c r="N16" i="6"/>
  <c r="K16" i="6"/>
  <c r="H16" i="6"/>
  <c r="V15" i="6"/>
  <c r="U15" i="6"/>
  <c r="T15" i="6"/>
  <c r="Q15" i="6"/>
  <c r="N15" i="6"/>
  <c r="K15" i="6"/>
  <c r="H15" i="6"/>
  <c r="V14" i="6"/>
  <c r="U14" i="6"/>
  <c r="T14" i="6"/>
  <c r="Q14" i="6"/>
  <c r="N14" i="6"/>
  <c r="K14" i="6"/>
  <c r="H14" i="6"/>
  <c r="S12" i="6"/>
  <c r="S13" i="6" s="1"/>
  <c r="R12" i="6"/>
  <c r="R13" i="6" s="1"/>
  <c r="P12" i="6"/>
  <c r="P13" i="6" s="1"/>
  <c r="O12" i="6"/>
  <c r="O13" i="6" s="1"/>
  <c r="M12" i="6"/>
  <c r="M13" i="6" s="1"/>
  <c r="L12" i="6"/>
  <c r="L13" i="6" s="1"/>
  <c r="J12" i="6"/>
  <c r="J13" i="6" s="1"/>
  <c r="I12" i="6"/>
  <c r="I13" i="6" s="1"/>
  <c r="G12" i="6"/>
  <c r="G13" i="6" s="1"/>
  <c r="F12" i="6"/>
  <c r="F13" i="6" s="1"/>
  <c r="V11" i="6"/>
  <c r="U11" i="6"/>
  <c r="T11" i="6"/>
  <c r="Q11" i="6"/>
  <c r="N11" i="6"/>
  <c r="K11" i="6"/>
  <c r="H11" i="6"/>
  <c r="S9" i="6"/>
  <c r="S10" i="6" s="1"/>
  <c r="R9" i="6"/>
  <c r="R10" i="6" s="1"/>
  <c r="P9" i="6"/>
  <c r="P10" i="6" s="1"/>
  <c r="O9" i="6"/>
  <c r="O10" i="6" s="1"/>
  <c r="M9" i="6"/>
  <c r="M10" i="6" s="1"/>
  <c r="L9" i="6"/>
  <c r="L10" i="6" s="1"/>
  <c r="J9" i="6"/>
  <c r="J10" i="6" s="1"/>
  <c r="I9" i="6"/>
  <c r="I10" i="6" s="1"/>
  <c r="G9" i="6"/>
  <c r="G10" i="6" s="1"/>
  <c r="F9" i="6"/>
  <c r="F10" i="6" s="1"/>
  <c r="V8" i="6"/>
  <c r="U8" i="6"/>
  <c r="T8" i="6"/>
  <c r="Q8" i="6"/>
  <c r="N8" i="6"/>
  <c r="K8" i="6"/>
  <c r="H8" i="6"/>
  <c r="V7" i="6"/>
  <c r="U7" i="6"/>
  <c r="T7" i="6"/>
  <c r="Q7" i="6"/>
  <c r="N7" i="6"/>
  <c r="K7" i="6"/>
  <c r="H7" i="6"/>
  <c r="S23" i="5"/>
  <c r="S24" i="5" s="1"/>
  <c r="R23" i="5"/>
  <c r="R24" i="5" s="1"/>
  <c r="P23" i="5"/>
  <c r="P24" i="5" s="1"/>
  <c r="O23" i="5"/>
  <c r="O24" i="5" s="1"/>
  <c r="M23" i="5"/>
  <c r="M24" i="5" s="1"/>
  <c r="L23" i="5"/>
  <c r="L24" i="5" s="1"/>
  <c r="J23" i="5"/>
  <c r="J24" i="5" s="1"/>
  <c r="I23" i="5"/>
  <c r="I24" i="5" s="1"/>
  <c r="G23" i="5"/>
  <c r="F23" i="5"/>
  <c r="F24" i="5" s="1"/>
  <c r="U24" i="5" s="1"/>
  <c r="V22" i="5"/>
  <c r="U22" i="5"/>
  <c r="T22" i="5"/>
  <c r="Q22" i="5"/>
  <c r="N22" i="5"/>
  <c r="K22" i="5"/>
  <c r="H22" i="5"/>
  <c r="V21" i="5"/>
  <c r="U21" i="5"/>
  <c r="T21" i="5"/>
  <c r="Q21" i="5"/>
  <c r="N21" i="5"/>
  <c r="K21" i="5"/>
  <c r="H21" i="5"/>
  <c r="V20" i="5"/>
  <c r="U20" i="5"/>
  <c r="T20" i="5"/>
  <c r="Q20" i="5"/>
  <c r="N20" i="5"/>
  <c r="K20" i="5"/>
  <c r="H20" i="5"/>
  <c r="V19" i="5"/>
  <c r="U19" i="5"/>
  <c r="T19" i="5"/>
  <c r="Q19" i="5"/>
  <c r="N19" i="5"/>
  <c r="K19" i="5"/>
  <c r="H19" i="5"/>
  <c r="S17" i="5"/>
  <c r="S18" i="5" s="1"/>
  <c r="R17" i="5"/>
  <c r="R18" i="5" s="1"/>
  <c r="P17" i="5"/>
  <c r="P18" i="5" s="1"/>
  <c r="O17" i="5"/>
  <c r="O18" i="5" s="1"/>
  <c r="M17" i="5"/>
  <c r="M18" i="5" s="1"/>
  <c r="L17" i="5"/>
  <c r="L18" i="5" s="1"/>
  <c r="J17" i="5"/>
  <c r="J18" i="5" s="1"/>
  <c r="I17" i="5"/>
  <c r="I18" i="5" s="1"/>
  <c r="G17" i="5"/>
  <c r="F17" i="5"/>
  <c r="F18" i="5" s="1"/>
  <c r="V16" i="5"/>
  <c r="U16" i="5"/>
  <c r="T16" i="5"/>
  <c r="Q16" i="5"/>
  <c r="N16" i="5"/>
  <c r="K16" i="5"/>
  <c r="H16" i="5"/>
  <c r="V15" i="5"/>
  <c r="U15" i="5"/>
  <c r="T15" i="5"/>
  <c r="Q15" i="5"/>
  <c r="N15" i="5"/>
  <c r="K15" i="5"/>
  <c r="H15" i="5"/>
  <c r="V14" i="5"/>
  <c r="U14" i="5"/>
  <c r="T14" i="5"/>
  <c r="Q14" i="5"/>
  <c r="N14" i="5"/>
  <c r="K14" i="5"/>
  <c r="H14" i="5"/>
  <c r="S12" i="5"/>
  <c r="S13" i="5" s="1"/>
  <c r="R12" i="5"/>
  <c r="R13" i="5" s="1"/>
  <c r="P12" i="5"/>
  <c r="P13" i="5" s="1"/>
  <c r="O12" i="5"/>
  <c r="O13" i="5" s="1"/>
  <c r="M12" i="5"/>
  <c r="M13" i="5" s="1"/>
  <c r="L12" i="5"/>
  <c r="L13" i="5" s="1"/>
  <c r="J12" i="5"/>
  <c r="J13" i="5" s="1"/>
  <c r="I12" i="5"/>
  <c r="I13" i="5" s="1"/>
  <c r="G12" i="5"/>
  <c r="V12" i="5" s="1"/>
  <c r="F12" i="5"/>
  <c r="F13" i="5" s="1"/>
  <c r="V11" i="5"/>
  <c r="U11" i="5"/>
  <c r="T11" i="5"/>
  <c r="Q11" i="5"/>
  <c r="N11" i="5"/>
  <c r="K11" i="5"/>
  <c r="H11" i="5"/>
  <c r="S9" i="5"/>
  <c r="S10" i="5" s="1"/>
  <c r="R9" i="5"/>
  <c r="R10" i="5" s="1"/>
  <c r="P9" i="5"/>
  <c r="P10" i="5" s="1"/>
  <c r="O9" i="5"/>
  <c r="O10" i="5" s="1"/>
  <c r="O25" i="5" s="1"/>
  <c r="M9" i="5"/>
  <c r="M10" i="5" s="1"/>
  <c r="L9" i="5"/>
  <c r="L10" i="5" s="1"/>
  <c r="J9" i="5"/>
  <c r="J10" i="5" s="1"/>
  <c r="I9" i="5"/>
  <c r="I10" i="5" s="1"/>
  <c r="I25" i="5" s="1"/>
  <c r="G9" i="5"/>
  <c r="F9" i="5"/>
  <c r="F10" i="5" s="1"/>
  <c r="V8" i="5"/>
  <c r="U8" i="5"/>
  <c r="T8" i="5"/>
  <c r="Q8" i="5"/>
  <c r="N8" i="5"/>
  <c r="K8" i="5"/>
  <c r="H8" i="5"/>
  <c r="V7" i="5"/>
  <c r="U7" i="5"/>
  <c r="T7" i="5"/>
  <c r="Q7" i="5"/>
  <c r="N7" i="5"/>
  <c r="K7" i="5"/>
  <c r="H7" i="5"/>
  <c r="R213" i="4"/>
  <c r="Q213" i="4"/>
  <c r="O213" i="4"/>
  <c r="N213" i="4"/>
  <c r="L213" i="4"/>
  <c r="K213" i="4"/>
  <c r="I213" i="4"/>
  <c r="H213" i="4"/>
  <c r="F213" i="4"/>
  <c r="E213" i="4"/>
  <c r="U212" i="4"/>
  <c r="T212" i="4"/>
  <c r="S212" i="4"/>
  <c r="P212" i="4"/>
  <c r="M212" i="4"/>
  <c r="J212" i="4"/>
  <c r="G212" i="4"/>
  <c r="U211" i="4"/>
  <c r="T211" i="4"/>
  <c r="S211" i="4"/>
  <c r="P211" i="4"/>
  <c r="M211" i="4"/>
  <c r="J211" i="4"/>
  <c r="G211" i="4"/>
  <c r="U210" i="4"/>
  <c r="T210" i="4"/>
  <c r="S210" i="4"/>
  <c r="P210" i="4"/>
  <c r="M210" i="4"/>
  <c r="J210" i="4"/>
  <c r="G210" i="4"/>
  <c r="U209" i="4"/>
  <c r="T209" i="4"/>
  <c r="S209" i="4"/>
  <c r="P209" i="4"/>
  <c r="M209" i="4"/>
  <c r="J209" i="4"/>
  <c r="G209" i="4"/>
  <c r="U208" i="4"/>
  <c r="T208" i="4"/>
  <c r="S208" i="4"/>
  <c r="P208" i="4"/>
  <c r="M208" i="4"/>
  <c r="J208" i="4"/>
  <c r="G208" i="4"/>
  <c r="U207" i="4"/>
  <c r="T207" i="4"/>
  <c r="S207" i="4"/>
  <c r="P207" i="4"/>
  <c r="M207" i="4"/>
  <c r="J207" i="4"/>
  <c r="G207" i="4"/>
  <c r="R206" i="4"/>
  <c r="Q206" i="4"/>
  <c r="O206" i="4"/>
  <c r="N206" i="4"/>
  <c r="L206" i="4"/>
  <c r="K206" i="4"/>
  <c r="I206" i="4"/>
  <c r="H206" i="4"/>
  <c r="F206" i="4"/>
  <c r="E206" i="4"/>
  <c r="U205" i="4"/>
  <c r="T205" i="4"/>
  <c r="S205" i="4"/>
  <c r="P205" i="4"/>
  <c r="M205" i="4"/>
  <c r="J205" i="4"/>
  <c r="G205" i="4"/>
  <c r="U204" i="4"/>
  <c r="T204" i="4"/>
  <c r="S204" i="4"/>
  <c r="P204" i="4"/>
  <c r="M204" i="4"/>
  <c r="J204" i="4"/>
  <c r="G204" i="4"/>
  <c r="U203" i="4"/>
  <c r="T203" i="4"/>
  <c r="S203" i="4"/>
  <c r="P203" i="4"/>
  <c r="M203" i="4"/>
  <c r="J203" i="4"/>
  <c r="G203" i="4"/>
  <c r="U202" i="4"/>
  <c r="T202" i="4"/>
  <c r="S202" i="4"/>
  <c r="P202" i="4"/>
  <c r="M202" i="4"/>
  <c r="J202" i="4"/>
  <c r="G202" i="4"/>
  <c r="U201" i="4"/>
  <c r="T201" i="4"/>
  <c r="S201" i="4"/>
  <c r="P201" i="4"/>
  <c r="M201" i="4"/>
  <c r="J201" i="4"/>
  <c r="G201" i="4"/>
  <c r="R200" i="4"/>
  <c r="Q200" i="4"/>
  <c r="O200" i="4"/>
  <c r="N200" i="4"/>
  <c r="L200" i="4"/>
  <c r="K200" i="4"/>
  <c r="I200" i="4"/>
  <c r="H200" i="4"/>
  <c r="F200" i="4"/>
  <c r="E200" i="4"/>
  <c r="U199" i="4"/>
  <c r="T199" i="4"/>
  <c r="S199" i="4"/>
  <c r="P199" i="4"/>
  <c r="M199" i="4"/>
  <c r="J199" i="4"/>
  <c r="G199" i="4"/>
  <c r="U198" i="4"/>
  <c r="T198" i="4"/>
  <c r="S198" i="4"/>
  <c r="P198" i="4"/>
  <c r="M198" i="4"/>
  <c r="J198" i="4"/>
  <c r="G198" i="4"/>
  <c r="U197" i="4"/>
  <c r="T197" i="4"/>
  <c r="S197" i="4"/>
  <c r="P197" i="4"/>
  <c r="M197" i="4"/>
  <c r="J197" i="4"/>
  <c r="G197" i="4"/>
  <c r="U196" i="4"/>
  <c r="T196" i="4"/>
  <c r="S196" i="4"/>
  <c r="P196" i="4"/>
  <c r="M196" i="4"/>
  <c r="J196" i="4"/>
  <c r="G196" i="4"/>
  <c r="R194" i="4"/>
  <c r="Q194" i="4"/>
  <c r="O194" i="4"/>
  <c r="N194" i="4"/>
  <c r="L194" i="4"/>
  <c r="K194" i="4"/>
  <c r="I194" i="4"/>
  <c r="H194" i="4"/>
  <c r="F194" i="4"/>
  <c r="E194" i="4"/>
  <c r="U190" i="4"/>
  <c r="T190" i="4"/>
  <c r="S190" i="4"/>
  <c r="P190" i="4"/>
  <c r="M190" i="4"/>
  <c r="J190" i="4"/>
  <c r="G190" i="4"/>
  <c r="U189" i="4"/>
  <c r="T189" i="4"/>
  <c r="S189" i="4"/>
  <c r="P189" i="4"/>
  <c r="M189" i="4"/>
  <c r="J189" i="4"/>
  <c r="G189" i="4"/>
  <c r="U188" i="4"/>
  <c r="T188" i="4"/>
  <c r="S188" i="4"/>
  <c r="P188" i="4"/>
  <c r="M188" i="4"/>
  <c r="J188" i="4"/>
  <c r="G188" i="4"/>
  <c r="U187" i="4"/>
  <c r="T187" i="4"/>
  <c r="S187" i="4"/>
  <c r="P187" i="4"/>
  <c r="M187" i="4"/>
  <c r="J187" i="4"/>
  <c r="G187" i="4"/>
  <c r="U186" i="4"/>
  <c r="T186" i="4"/>
  <c r="S186" i="4"/>
  <c r="P186" i="4"/>
  <c r="M186" i="4"/>
  <c r="J186" i="4"/>
  <c r="G186" i="4"/>
  <c r="U185" i="4"/>
  <c r="T185" i="4"/>
  <c r="S185" i="4"/>
  <c r="P185" i="4"/>
  <c r="M185" i="4"/>
  <c r="J185" i="4"/>
  <c r="G185" i="4"/>
  <c r="U184" i="4"/>
  <c r="T184" i="4"/>
  <c r="S184" i="4"/>
  <c r="P184" i="4"/>
  <c r="M184" i="4"/>
  <c r="J184" i="4"/>
  <c r="G184" i="4"/>
  <c r="U183" i="4"/>
  <c r="T183" i="4"/>
  <c r="S183" i="4"/>
  <c r="P183" i="4"/>
  <c r="M183" i="4"/>
  <c r="J183" i="4"/>
  <c r="G183" i="4"/>
  <c r="U182" i="4"/>
  <c r="T182" i="4"/>
  <c r="S182" i="4"/>
  <c r="P182" i="4"/>
  <c r="M182" i="4"/>
  <c r="J182" i="4"/>
  <c r="G182" i="4"/>
  <c r="U181" i="4"/>
  <c r="T181" i="4"/>
  <c r="S181" i="4"/>
  <c r="P181" i="4"/>
  <c r="M181" i="4"/>
  <c r="J181" i="4"/>
  <c r="G181" i="4"/>
  <c r="U180" i="4"/>
  <c r="T180" i="4"/>
  <c r="S180" i="4"/>
  <c r="P180" i="4"/>
  <c r="M180" i="4"/>
  <c r="J180" i="4"/>
  <c r="G180" i="4"/>
  <c r="U179" i="4"/>
  <c r="T179" i="4"/>
  <c r="S179" i="4"/>
  <c r="P179" i="4"/>
  <c r="M179" i="4"/>
  <c r="J179" i="4"/>
  <c r="G179" i="4"/>
  <c r="U178" i="4"/>
  <c r="T178" i="4"/>
  <c r="S178" i="4"/>
  <c r="P178" i="4"/>
  <c r="M178" i="4"/>
  <c r="J178" i="4"/>
  <c r="R177" i="4"/>
  <c r="Q177" i="4"/>
  <c r="O177" i="4"/>
  <c r="N177" i="4"/>
  <c r="L177" i="4"/>
  <c r="K177" i="4"/>
  <c r="I177" i="4"/>
  <c r="H177" i="4"/>
  <c r="F177" i="4"/>
  <c r="E177" i="4"/>
  <c r="U176" i="4"/>
  <c r="T176" i="4"/>
  <c r="S176" i="4"/>
  <c r="P176" i="4"/>
  <c r="M176" i="4"/>
  <c r="J176" i="4"/>
  <c r="G176" i="4"/>
  <c r="U174" i="4"/>
  <c r="T174" i="4"/>
  <c r="S174" i="4"/>
  <c r="P174" i="4"/>
  <c r="M174" i="4"/>
  <c r="J174" i="4"/>
  <c r="G174" i="4"/>
  <c r="U173" i="4"/>
  <c r="T173" i="4"/>
  <c r="S173" i="4"/>
  <c r="P173" i="4"/>
  <c r="M173" i="4"/>
  <c r="J173" i="4"/>
  <c r="G173" i="4"/>
  <c r="U172" i="4"/>
  <c r="T172" i="4"/>
  <c r="S172" i="4"/>
  <c r="P172" i="4"/>
  <c r="M172" i="4"/>
  <c r="J172" i="4"/>
  <c r="G172" i="4"/>
  <c r="U171" i="4"/>
  <c r="T171" i="4"/>
  <c r="S171" i="4"/>
  <c r="P171" i="4"/>
  <c r="M171" i="4"/>
  <c r="J171" i="4"/>
  <c r="G171" i="4"/>
  <c r="U170" i="4"/>
  <c r="T170" i="4"/>
  <c r="S170" i="4"/>
  <c r="P170" i="4"/>
  <c r="M170" i="4"/>
  <c r="J170" i="4"/>
  <c r="G170" i="4"/>
  <c r="R168" i="4"/>
  <c r="Q168" i="4"/>
  <c r="O168" i="4"/>
  <c r="N168" i="4"/>
  <c r="L168" i="4"/>
  <c r="K168" i="4"/>
  <c r="I168" i="4"/>
  <c r="H168" i="4"/>
  <c r="F168" i="4"/>
  <c r="E168" i="4"/>
  <c r="U167" i="4"/>
  <c r="T167" i="4"/>
  <c r="S167" i="4"/>
  <c r="P167" i="4"/>
  <c r="M167" i="4"/>
  <c r="J167" i="4"/>
  <c r="G167" i="4"/>
  <c r="U166" i="4"/>
  <c r="T166" i="4"/>
  <c r="S166" i="4"/>
  <c r="P166" i="4"/>
  <c r="M166" i="4"/>
  <c r="J166" i="4"/>
  <c r="G166" i="4"/>
  <c r="U165" i="4"/>
  <c r="T165" i="4"/>
  <c r="S165" i="4"/>
  <c r="P165" i="4"/>
  <c r="M165" i="4"/>
  <c r="J165" i="4"/>
  <c r="G165" i="4"/>
  <c r="U164" i="4"/>
  <c r="T164" i="4"/>
  <c r="S164" i="4"/>
  <c r="P164" i="4"/>
  <c r="M164" i="4"/>
  <c r="J164" i="4"/>
  <c r="G164" i="4"/>
  <c r="U163" i="4"/>
  <c r="T163" i="4"/>
  <c r="S163" i="4"/>
  <c r="P163" i="4"/>
  <c r="M163" i="4"/>
  <c r="J163" i="4"/>
  <c r="G163" i="4"/>
  <c r="U162" i="4"/>
  <c r="T162" i="4"/>
  <c r="S162" i="4"/>
  <c r="P162" i="4"/>
  <c r="M162" i="4"/>
  <c r="J162" i="4"/>
  <c r="G162" i="4"/>
  <c r="U161" i="4"/>
  <c r="T161" i="4"/>
  <c r="S161" i="4"/>
  <c r="P161" i="4"/>
  <c r="M161" i="4"/>
  <c r="J161" i="4"/>
  <c r="G161" i="4"/>
  <c r="R160" i="4"/>
  <c r="Q160" i="4"/>
  <c r="O160" i="4"/>
  <c r="N160" i="4"/>
  <c r="L160" i="4"/>
  <c r="K160" i="4"/>
  <c r="I160" i="4"/>
  <c r="H160" i="4"/>
  <c r="F160" i="4"/>
  <c r="E160" i="4"/>
  <c r="T160" i="4" s="1"/>
  <c r="U159" i="4"/>
  <c r="T159" i="4"/>
  <c r="S159" i="4"/>
  <c r="P159" i="4"/>
  <c r="M159" i="4"/>
  <c r="J159" i="4"/>
  <c r="G159" i="4"/>
  <c r="U158" i="4"/>
  <c r="T158" i="4"/>
  <c r="S158" i="4"/>
  <c r="P158" i="4"/>
  <c r="M158" i="4"/>
  <c r="J158" i="4"/>
  <c r="G158" i="4"/>
  <c r="U157" i="4"/>
  <c r="T157" i="4"/>
  <c r="S157" i="4"/>
  <c r="P157" i="4"/>
  <c r="M157" i="4"/>
  <c r="J157" i="4"/>
  <c r="G157" i="4"/>
  <c r="U156" i="4"/>
  <c r="T156" i="4"/>
  <c r="S156" i="4"/>
  <c r="P156" i="4"/>
  <c r="M156" i="4"/>
  <c r="J156" i="4"/>
  <c r="G156" i="4"/>
  <c r="U155" i="4"/>
  <c r="T155" i="4"/>
  <c r="S155" i="4"/>
  <c r="P155" i="4"/>
  <c r="M155" i="4"/>
  <c r="J155" i="4"/>
  <c r="G155" i="4"/>
  <c r="U154" i="4"/>
  <c r="T154" i="4"/>
  <c r="S154" i="4"/>
  <c r="P154" i="4"/>
  <c r="M154" i="4"/>
  <c r="J154" i="4"/>
  <c r="G154" i="4"/>
  <c r="R153" i="4"/>
  <c r="Q153" i="4"/>
  <c r="O153" i="4"/>
  <c r="N153" i="4"/>
  <c r="L153" i="4"/>
  <c r="K153" i="4"/>
  <c r="I153" i="4"/>
  <c r="H153" i="4"/>
  <c r="F153" i="4"/>
  <c r="E153" i="4"/>
  <c r="T153" i="4" s="1"/>
  <c r="U152" i="4"/>
  <c r="T152" i="4"/>
  <c r="S152" i="4"/>
  <c r="P152" i="4"/>
  <c r="M152" i="4"/>
  <c r="J152" i="4"/>
  <c r="G152" i="4"/>
  <c r="U151" i="4"/>
  <c r="T151" i="4"/>
  <c r="S151" i="4"/>
  <c r="P151" i="4"/>
  <c r="M151" i="4"/>
  <c r="J151" i="4"/>
  <c r="G151" i="4"/>
  <c r="U150" i="4"/>
  <c r="T150" i="4"/>
  <c r="S150" i="4"/>
  <c r="P150" i="4"/>
  <c r="M150" i="4"/>
  <c r="J150" i="4"/>
  <c r="G150" i="4"/>
  <c r="U149" i="4"/>
  <c r="T149" i="4"/>
  <c r="S149" i="4"/>
  <c r="P149" i="4"/>
  <c r="M149" i="4"/>
  <c r="J149" i="4"/>
  <c r="G149" i="4"/>
  <c r="U148" i="4"/>
  <c r="T148" i="4"/>
  <c r="S148" i="4"/>
  <c r="P148" i="4"/>
  <c r="M148" i="4"/>
  <c r="J148" i="4"/>
  <c r="G148" i="4"/>
  <c r="U147" i="4"/>
  <c r="T147" i="4"/>
  <c r="S147" i="4"/>
  <c r="P147" i="4"/>
  <c r="M147" i="4"/>
  <c r="J147" i="4"/>
  <c r="G147" i="4"/>
  <c r="R146" i="4"/>
  <c r="Q146" i="4"/>
  <c r="O146" i="4"/>
  <c r="N146" i="4"/>
  <c r="L146" i="4"/>
  <c r="K146" i="4"/>
  <c r="I146" i="4"/>
  <c r="H146" i="4"/>
  <c r="F146" i="4"/>
  <c r="E146" i="4"/>
  <c r="T146" i="4" s="1"/>
  <c r="U145" i="4"/>
  <c r="T145" i="4"/>
  <c r="S145" i="4"/>
  <c r="P145" i="4"/>
  <c r="M145" i="4"/>
  <c r="J145" i="4"/>
  <c r="G145" i="4"/>
  <c r="U144" i="4"/>
  <c r="T144" i="4"/>
  <c r="S144" i="4"/>
  <c r="P144" i="4"/>
  <c r="M144" i="4"/>
  <c r="J144" i="4"/>
  <c r="G144" i="4"/>
  <c r="U143" i="4"/>
  <c r="T143" i="4"/>
  <c r="S143" i="4"/>
  <c r="P143" i="4"/>
  <c r="M143" i="4"/>
  <c r="J143" i="4"/>
  <c r="G143" i="4"/>
  <c r="U142" i="4"/>
  <c r="T142" i="4"/>
  <c r="S142" i="4"/>
  <c r="P142" i="4"/>
  <c r="M142" i="4"/>
  <c r="J142" i="4"/>
  <c r="G142" i="4"/>
  <c r="R141" i="4"/>
  <c r="Q141" i="4"/>
  <c r="O141" i="4"/>
  <c r="N141" i="4"/>
  <c r="L141" i="4"/>
  <c r="K141" i="4"/>
  <c r="I141" i="4"/>
  <c r="H141" i="4"/>
  <c r="F141" i="4"/>
  <c r="E141" i="4"/>
  <c r="U140" i="4"/>
  <c r="T140" i="4"/>
  <c r="S140" i="4"/>
  <c r="P140" i="4"/>
  <c r="M140" i="4"/>
  <c r="J140" i="4"/>
  <c r="G140" i="4"/>
  <c r="U139" i="4"/>
  <c r="T139" i="4"/>
  <c r="S139" i="4"/>
  <c r="P139" i="4"/>
  <c r="M139" i="4"/>
  <c r="J139" i="4"/>
  <c r="G139" i="4"/>
  <c r="U138" i="4"/>
  <c r="T138" i="4"/>
  <c r="S138" i="4"/>
  <c r="P138" i="4"/>
  <c r="M138" i="4"/>
  <c r="J138" i="4"/>
  <c r="G138" i="4"/>
  <c r="U137" i="4"/>
  <c r="T137" i="4"/>
  <c r="S137" i="4"/>
  <c r="P137" i="4"/>
  <c r="M137" i="4"/>
  <c r="J137" i="4"/>
  <c r="G137" i="4"/>
  <c r="U136" i="4"/>
  <c r="T136" i="4"/>
  <c r="S136" i="4"/>
  <c r="P136" i="4"/>
  <c r="M136" i="4"/>
  <c r="J136" i="4"/>
  <c r="G136" i="4"/>
  <c r="U135" i="4"/>
  <c r="T135" i="4"/>
  <c r="S135" i="4"/>
  <c r="P135" i="4"/>
  <c r="M135" i="4"/>
  <c r="J135" i="4"/>
  <c r="G135" i="4"/>
  <c r="U134" i="4"/>
  <c r="T134" i="4"/>
  <c r="S134" i="4"/>
  <c r="P134" i="4"/>
  <c r="M134" i="4"/>
  <c r="J134" i="4"/>
  <c r="G134" i="4"/>
  <c r="R133" i="4"/>
  <c r="Q133" i="4"/>
  <c r="O133" i="4"/>
  <c r="N133" i="4"/>
  <c r="L133" i="4"/>
  <c r="K133" i="4"/>
  <c r="I133" i="4"/>
  <c r="H133" i="4"/>
  <c r="F133" i="4"/>
  <c r="E133" i="4"/>
  <c r="T133" i="4" s="1"/>
  <c r="U132" i="4"/>
  <c r="T132" i="4"/>
  <c r="S132" i="4"/>
  <c r="P132" i="4"/>
  <c r="M132" i="4"/>
  <c r="J132" i="4"/>
  <c r="G132" i="4"/>
  <c r="U131" i="4"/>
  <c r="T131" i="4"/>
  <c r="S131" i="4"/>
  <c r="P131" i="4"/>
  <c r="M131" i="4"/>
  <c r="J131" i="4"/>
  <c r="G131" i="4"/>
  <c r="U130" i="4"/>
  <c r="T130" i="4"/>
  <c r="S130" i="4"/>
  <c r="P130" i="4"/>
  <c r="M130" i="4"/>
  <c r="J130" i="4"/>
  <c r="G130" i="4"/>
  <c r="U129" i="4"/>
  <c r="T129" i="4"/>
  <c r="S129" i="4"/>
  <c r="P129" i="4"/>
  <c r="M129" i="4"/>
  <c r="J129" i="4"/>
  <c r="G129" i="4"/>
  <c r="U128" i="4"/>
  <c r="T128" i="4"/>
  <c r="S128" i="4"/>
  <c r="P128" i="4"/>
  <c r="M128" i="4"/>
  <c r="J128" i="4"/>
  <c r="G128" i="4"/>
  <c r="U127" i="4"/>
  <c r="T127" i="4"/>
  <c r="S127" i="4"/>
  <c r="P127" i="4"/>
  <c r="M127" i="4"/>
  <c r="J127" i="4"/>
  <c r="G127" i="4"/>
  <c r="U126" i="4"/>
  <c r="T126" i="4"/>
  <c r="S126" i="4"/>
  <c r="P126" i="4"/>
  <c r="M126" i="4"/>
  <c r="J126" i="4"/>
  <c r="G126" i="4"/>
  <c r="U125" i="4"/>
  <c r="T125" i="4"/>
  <c r="S125" i="4"/>
  <c r="P125" i="4"/>
  <c r="M125" i="4"/>
  <c r="J125" i="4"/>
  <c r="G125" i="4"/>
  <c r="U124" i="4"/>
  <c r="T124" i="4"/>
  <c r="S124" i="4"/>
  <c r="P124" i="4"/>
  <c r="M124" i="4"/>
  <c r="J124" i="4"/>
  <c r="G124" i="4"/>
  <c r="R123" i="4"/>
  <c r="Q123" i="4"/>
  <c r="O123" i="4"/>
  <c r="N123" i="4"/>
  <c r="L123" i="4"/>
  <c r="K123" i="4"/>
  <c r="I123" i="4"/>
  <c r="H123" i="4"/>
  <c r="F123" i="4"/>
  <c r="E123" i="4"/>
  <c r="U122" i="4"/>
  <c r="T122" i="4"/>
  <c r="S122" i="4"/>
  <c r="P122" i="4"/>
  <c r="M122" i="4"/>
  <c r="J122" i="4"/>
  <c r="G122" i="4"/>
  <c r="U121" i="4"/>
  <c r="T121" i="4"/>
  <c r="S121" i="4"/>
  <c r="P121" i="4"/>
  <c r="M121" i="4"/>
  <c r="J121" i="4"/>
  <c r="G121" i="4"/>
  <c r="U120" i="4"/>
  <c r="T120" i="4"/>
  <c r="S120" i="4"/>
  <c r="P120" i="4"/>
  <c r="M120" i="4"/>
  <c r="J120" i="4"/>
  <c r="G120" i="4"/>
  <c r="R119" i="4"/>
  <c r="Q119" i="4"/>
  <c r="O119" i="4"/>
  <c r="N119" i="4"/>
  <c r="L119" i="4"/>
  <c r="K119" i="4"/>
  <c r="I119" i="4"/>
  <c r="H119" i="4"/>
  <c r="F119" i="4"/>
  <c r="E119" i="4"/>
  <c r="U118" i="4"/>
  <c r="T118" i="4"/>
  <c r="S118" i="4"/>
  <c r="P118" i="4"/>
  <c r="M118" i="4"/>
  <c r="J118" i="4"/>
  <c r="G118" i="4"/>
  <c r="U117" i="4"/>
  <c r="T117" i="4"/>
  <c r="S117" i="4"/>
  <c r="P117" i="4"/>
  <c r="M117" i="4"/>
  <c r="J117" i="4"/>
  <c r="G117" i="4"/>
  <c r="U116" i="4"/>
  <c r="T116" i="4"/>
  <c r="S116" i="4"/>
  <c r="P116" i="4"/>
  <c r="M116" i="4"/>
  <c r="J116" i="4"/>
  <c r="G116" i="4"/>
  <c r="U115" i="4"/>
  <c r="T115" i="4"/>
  <c r="S115" i="4"/>
  <c r="P115" i="4"/>
  <c r="M115" i="4"/>
  <c r="J115" i="4"/>
  <c r="G115" i="4"/>
  <c r="R114" i="4"/>
  <c r="Q114" i="4"/>
  <c r="O114" i="4"/>
  <c r="N114" i="4"/>
  <c r="L114" i="4"/>
  <c r="K114" i="4"/>
  <c r="I114" i="4"/>
  <c r="H114" i="4"/>
  <c r="F114" i="4"/>
  <c r="E114" i="4"/>
  <c r="U113" i="4"/>
  <c r="T113" i="4"/>
  <c r="S113" i="4"/>
  <c r="P113" i="4"/>
  <c r="M113" i="4"/>
  <c r="J113" i="4"/>
  <c r="G113" i="4"/>
  <c r="U112" i="4"/>
  <c r="T112" i="4"/>
  <c r="S112" i="4"/>
  <c r="P112" i="4"/>
  <c r="M112" i="4"/>
  <c r="J112" i="4"/>
  <c r="G112" i="4"/>
  <c r="U111" i="4"/>
  <c r="T111" i="4"/>
  <c r="S111" i="4"/>
  <c r="P111" i="4"/>
  <c r="M111" i="4"/>
  <c r="J111" i="4"/>
  <c r="G111" i="4"/>
  <c r="U110" i="4"/>
  <c r="T110" i="4"/>
  <c r="S110" i="4"/>
  <c r="P110" i="4"/>
  <c r="M110" i="4"/>
  <c r="J110" i="4"/>
  <c r="G110" i="4"/>
  <c r="U109" i="4"/>
  <c r="T109" i="4"/>
  <c r="S109" i="4"/>
  <c r="P109" i="4"/>
  <c r="M109" i="4"/>
  <c r="J109" i="4"/>
  <c r="G109" i="4"/>
  <c r="U108" i="4"/>
  <c r="T108" i="4"/>
  <c r="S108" i="4"/>
  <c r="P108" i="4"/>
  <c r="M108" i="4"/>
  <c r="J108" i="4"/>
  <c r="G108" i="4"/>
  <c r="R106" i="4"/>
  <c r="Q106" i="4"/>
  <c r="O106" i="4"/>
  <c r="N106" i="4"/>
  <c r="L106" i="4"/>
  <c r="K106" i="4"/>
  <c r="I106" i="4"/>
  <c r="U106" i="4" s="1"/>
  <c r="H106" i="4"/>
  <c r="F106" i="4"/>
  <c r="E106" i="4"/>
  <c r="U105" i="4"/>
  <c r="T105" i="4"/>
  <c r="S105" i="4"/>
  <c r="P105" i="4"/>
  <c r="M105" i="4"/>
  <c r="J105" i="4"/>
  <c r="G105" i="4"/>
  <c r="U104" i="4"/>
  <c r="T104" i="4"/>
  <c r="S104" i="4"/>
  <c r="P104" i="4"/>
  <c r="M104" i="4"/>
  <c r="J104" i="4"/>
  <c r="G104" i="4"/>
  <c r="U103" i="4"/>
  <c r="T103" i="4"/>
  <c r="S103" i="4"/>
  <c r="P103" i="4"/>
  <c r="M103" i="4"/>
  <c r="J103" i="4"/>
  <c r="G103" i="4"/>
  <c r="U102" i="4"/>
  <c r="T102" i="4"/>
  <c r="S102" i="4"/>
  <c r="P102" i="4"/>
  <c r="M102" i="4"/>
  <c r="J102" i="4"/>
  <c r="G102" i="4"/>
  <c r="U101" i="4"/>
  <c r="T101" i="4"/>
  <c r="S101" i="4"/>
  <c r="P101" i="4"/>
  <c r="M101" i="4"/>
  <c r="J101" i="4"/>
  <c r="G101" i="4"/>
  <c r="U100" i="4"/>
  <c r="T100" i="4"/>
  <c r="S100" i="4"/>
  <c r="P100" i="4"/>
  <c r="M100" i="4"/>
  <c r="J100" i="4"/>
  <c r="G100" i="4"/>
  <c r="U99" i="4"/>
  <c r="T99" i="4"/>
  <c r="S99" i="4"/>
  <c r="P99" i="4"/>
  <c r="M99" i="4"/>
  <c r="J99" i="4"/>
  <c r="G99" i="4"/>
  <c r="R98" i="4"/>
  <c r="Q98" i="4"/>
  <c r="O98" i="4"/>
  <c r="N98" i="4"/>
  <c r="L98" i="4"/>
  <c r="K98" i="4"/>
  <c r="I98" i="4"/>
  <c r="H98" i="4"/>
  <c r="F98" i="4"/>
  <c r="E98" i="4"/>
  <c r="U97" i="4"/>
  <c r="T97" i="4"/>
  <c r="S97" i="4"/>
  <c r="P97" i="4"/>
  <c r="M97" i="4"/>
  <c r="J97" i="4"/>
  <c r="G97" i="4"/>
  <c r="U96" i="4"/>
  <c r="T96" i="4"/>
  <c r="S96" i="4"/>
  <c r="P96" i="4"/>
  <c r="M96" i="4"/>
  <c r="J96" i="4"/>
  <c r="G96" i="4"/>
  <c r="U95" i="4"/>
  <c r="T95" i="4"/>
  <c r="S95" i="4"/>
  <c r="P95" i="4"/>
  <c r="M95" i="4"/>
  <c r="J95" i="4"/>
  <c r="G95" i="4"/>
  <c r="R94" i="4"/>
  <c r="Q94" i="4"/>
  <c r="O94" i="4"/>
  <c r="N94" i="4"/>
  <c r="L94" i="4"/>
  <c r="K94" i="4"/>
  <c r="I94" i="4"/>
  <c r="H94" i="4"/>
  <c r="F94" i="4"/>
  <c r="E94" i="4"/>
  <c r="T94" i="4" s="1"/>
  <c r="U93" i="4"/>
  <c r="T93" i="4"/>
  <c r="S93" i="4"/>
  <c r="P93" i="4"/>
  <c r="M93" i="4"/>
  <c r="J93" i="4"/>
  <c r="G93" i="4"/>
  <c r="U92" i="4"/>
  <c r="T92" i="4"/>
  <c r="S92" i="4"/>
  <c r="P92" i="4"/>
  <c r="M92" i="4"/>
  <c r="J92" i="4"/>
  <c r="G92" i="4"/>
  <c r="U91" i="4"/>
  <c r="T91" i="4"/>
  <c r="S91" i="4"/>
  <c r="P91" i="4"/>
  <c r="M91" i="4"/>
  <c r="J91" i="4"/>
  <c r="G91" i="4"/>
  <c r="U90" i="4"/>
  <c r="T90" i="4"/>
  <c r="S90" i="4"/>
  <c r="P90" i="4"/>
  <c r="M90" i="4"/>
  <c r="J90" i="4"/>
  <c r="G90" i="4"/>
  <c r="U89" i="4"/>
  <c r="T89" i="4"/>
  <c r="S89" i="4"/>
  <c r="P89" i="4"/>
  <c r="M89" i="4"/>
  <c r="J89" i="4"/>
  <c r="G89" i="4"/>
  <c r="U88" i="4"/>
  <c r="T88" i="4"/>
  <c r="S88" i="4"/>
  <c r="P88" i="4"/>
  <c r="M88" i="4"/>
  <c r="J88" i="4"/>
  <c r="G88" i="4"/>
  <c r="R87" i="4"/>
  <c r="Q87" i="4"/>
  <c r="O87" i="4"/>
  <c r="N87" i="4"/>
  <c r="L87" i="4"/>
  <c r="K87" i="4"/>
  <c r="I87" i="4"/>
  <c r="H87" i="4"/>
  <c r="F87" i="4"/>
  <c r="E87" i="4"/>
  <c r="T87" i="4" s="1"/>
  <c r="U86" i="4"/>
  <c r="T86" i="4"/>
  <c r="S86" i="4"/>
  <c r="P86" i="4"/>
  <c r="M86" i="4"/>
  <c r="J86" i="4"/>
  <c r="G86" i="4"/>
  <c r="U85" i="4"/>
  <c r="T85" i="4"/>
  <c r="S85" i="4"/>
  <c r="P85" i="4"/>
  <c r="M85" i="4"/>
  <c r="J85" i="4"/>
  <c r="G85" i="4"/>
  <c r="U84" i="4"/>
  <c r="T84" i="4"/>
  <c r="S84" i="4"/>
  <c r="P84" i="4"/>
  <c r="M84" i="4"/>
  <c r="J84" i="4"/>
  <c r="G84" i="4"/>
  <c r="U83" i="4"/>
  <c r="T83" i="4"/>
  <c r="S83" i="4"/>
  <c r="P83" i="4"/>
  <c r="M83" i="4"/>
  <c r="J83" i="4"/>
  <c r="G83" i="4"/>
  <c r="R82" i="4"/>
  <c r="Q82" i="4"/>
  <c r="O82" i="4"/>
  <c r="N82" i="4"/>
  <c r="L82" i="4"/>
  <c r="K82" i="4"/>
  <c r="I82" i="4"/>
  <c r="U82" i="4" s="1"/>
  <c r="H82" i="4"/>
  <c r="F82" i="4"/>
  <c r="E82" i="4"/>
  <c r="U81" i="4"/>
  <c r="T81" i="4"/>
  <c r="S81" i="4"/>
  <c r="P81" i="4"/>
  <c r="M81" i="4"/>
  <c r="J81" i="4"/>
  <c r="G81" i="4"/>
  <c r="U80" i="4"/>
  <c r="T80" i="4"/>
  <c r="S80" i="4"/>
  <c r="P80" i="4"/>
  <c r="M80" i="4"/>
  <c r="J80" i="4"/>
  <c r="G80" i="4"/>
  <c r="U79" i="4"/>
  <c r="T79" i="4"/>
  <c r="S79" i="4"/>
  <c r="P79" i="4"/>
  <c r="M79" i="4"/>
  <c r="J79" i="4"/>
  <c r="G79" i="4"/>
  <c r="R78" i="4"/>
  <c r="Q78" i="4"/>
  <c r="O78" i="4"/>
  <c r="N78" i="4"/>
  <c r="L78" i="4"/>
  <c r="K78" i="4"/>
  <c r="I78" i="4"/>
  <c r="H78" i="4"/>
  <c r="F78" i="4"/>
  <c r="E78" i="4"/>
  <c r="U77" i="4"/>
  <c r="T77" i="4"/>
  <c r="S77" i="4"/>
  <c r="S78" i="4" s="1"/>
  <c r="P77" i="4"/>
  <c r="P78" i="4" s="1"/>
  <c r="M77" i="4"/>
  <c r="M78" i="4" s="1"/>
  <c r="J77" i="4"/>
  <c r="J78" i="4" s="1"/>
  <c r="G77" i="4"/>
  <c r="R76" i="4"/>
  <c r="Q76" i="4"/>
  <c r="O76" i="4"/>
  <c r="O107" i="4" s="1"/>
  <c r="N76" i="4"/>
  <c r="L76" i="4"/>
  <c r="K76" i="4"/>
  <c r="I76" i="4"/>
  <c r="I107" i="4" s="1"/>
  <c r="H76" i="4"/>
  <c r="F76" i="4"/>
  <c r="E76" i="4"/>
  <c r="U75" i="4"/>
  <c r="T75" i="4"/>
  <c r="S75" i="4"/>
  <c r="P75" i="4"/>
  <c r="M75" i="4"/>
  <c r="J75" i="4"/>
  <c r="G75" i="4"/>
  <c r="U74" i="4"/>
  <c r="T74" i="4"/>
  <c r="S74" i="4"/>
  <c r="P74" i="4"/>
  <c r="M74" i="4"/>
  <c r="J74" i="4"/>
  <c r="G74" i="4"/>
  <c r="U73" i="4"/>
  <c r="T73" i="4"/>
  <c r="S73" i="4"/>
  <c r="P73" i="4"/>
  <c r="M73" i="4"/>
  <c r="J73" i="4"/>
  <c r="G73" i="4"/>
  <c r="R71" i="4"/>
  <c r="Q71" i="4"/>
  <c r="O71" i="4"/>
  <c r="N71" i="4"/>
  <c r="L71" i="4"/>
  <c r="K71" i="4"/>
  <c r="I71" i="4"/>
  <c r="H71" i="4"/>
  <c r="F71" i="4"/>
  <c r="U71" i="4" s="1"/>
  <c r="E71" i="4"/>
  <c r="U70" i="4"/>
  <c r="T70" i="4"/>
  <c r="S70" i="4"/>
  <c r="P70" i="4"/>
  <c r="M70" i="4"/>
  <c r="J70" i="4"/>
  <c r="G70" i="4"/>
  <c r="U69" i="4"/>
  <c r="T69" i="4"/>
  <c r="S69" i="4"/>
  <c r="P69" i="4"/>
  <c r="M69" i="4"/>
  <c r="J69" i="4"/>
  <c r="G69" i="4"/>
  <c r="U68" i="4"/>
  <c r="T68" i="4"/>
  <c r="S68" i="4"/>
  <c r="P68" i="4"/>
  <c r="M68" i="4"/>
  <c r="J68" i="4"/>
  <c r="G68" i="4"/>
  <c r="U67" i="4"/>
  <c r="T67" i="4"/>
  <c r="S67" i="4"/>
  <c r="P67" i="4"/>
  <c r="M67" i="4"/>
  <c r="J67" i="4"/>
  <c r="G67" i="4"/>
  <c r="U66" i="4"/>
  <c r="T66" i="4"/>
  <c r="S66" i="4"/>
  <c r="P66" i="4"/>
  <c r="M66" i="4"/>
  <c r="J66" i="4"/>
  <c r="G66" i="4"/>
  <c r="U65" i="4"/>
  <c r="T65" i="4"/>
  <c r="S65" i="4"/>
  <c r="P65" i="4"/>
  <c r="M65" i="4"/>
  <c r="J65" i="4"/>
  <c r="G65" i="4"/>
  <c r="U64" i="4"/>
  <c r="T64" i="4"/>
  <c r="S64" i="4"/>
  <c r="P64" i="4"/>
  <c r="M64" i="4"/>
  <c r="J64" i="4"/>
  <c r="G64" i="4"/>
  <c r="U63" i="4"/>
  <c r="T63" i="4"/>
  <c r="S63" i="4"/>
  <c r="P63" i="4"/>
  <c r="M63" i="4"/>
  <c r="J63" i="4"/>
  <c r="G63" i="4"/>
  <c r="R62" i="4"/>
  <c r="Q62" i="4"/>
  <c r="O62" i="4"/>
  <c r="O72" i="4" s="1"/>
  <c r="N62" i="4"/>
  <c r="L62" i="4"/>
  <c r="K62" i="4"/>
  <c r="I62" i="4"/>
  <c r="I72" i="4" s="1"/>
  <c r="H62" i="4"/>
  <c r="F62" i="4"/>
  <c r="E62" i="4"/>
  <c r="U61" i="4"/>
  <c r="T61" i="4"/>
  <c r="S61" i="4"/>
  <c r="P61" i="4"/>
  <c r="M61" i="4"/>
  <c r="J61" i="4"/>
  <c r="G61" i="4"/>
  <c r="U58" i="4"/>
  <c r="T58" i="4"/>
  <c r="S58" i="4"/>
  <c r="P58" i="4"/>
  <c r="M58" i="4"/>
  <c r="J58" i="4"/>
  <c r="G58" i="4"/>
  <c r="U57" i="4"/>
  <c r="T57" i="4"/>
  <c r="S57" i="4"/>
  <c r="P57" i="4"/>
  <c r="M57" i="4"/>
  <c r="J57" i="4"/>
  <c r="G57" i="4"/>
  <c r="U56" i="4"/>
  <c r="T56" i="4"/>
  <c r="S56" i="4"/>
  <c r="P56" i="4"/>
  <c r="M56" i="4"/>
  <c r="J56" i="4"/>
  <c r="G56" i="4"/>
  <c r="U55" i="4"/>
  <c r="T55" i="4"/>
  <c r="S55" i="4"/>
  <c r="P55" i="4"/>
  <c r="M55" i="4"/>
  <c r="J55" i="4"/>
  <c r="G55" i="4"/>
  <c r="U54" i="4"/>
  <c r="T54" i="4"/>
  <c r="S54" i="4"/>
  <c r="P54" i="4"/>
  <c r="M54" i="4"/>
  <c r="J54" i="4"/>
  <c r="G54" i="4"/>
  <c r="U53" i="4"/>
  <c r="T53" i="4"/>
  <c r="S53" i="4"/>
  <c r="P53" i="4"/>
  <c r="M53" i="4"/>
  <c r="J53" i="4"/>
  <c r="G53" i="4"/>
  <c r="U52" i="4"/>
  <c r="T52" i="4"/>
  <c r="S52" i="4"/>
  <c r="P52" i="4"/>
  <c r="M52" i="4"/>
  <c r="J52" i="4"/>
  <c r="R50" i="4"/>
  <c r="Q50" i="4"/>
  <c r="O50" i="4"/>
  <c r="N50" i="4"/>
  <c r="L50" i="4"/>
  <c r="K50" i="4"/>
  <c r="I50" i="4"/>
  <c r="H50" i="4"/>
  <c r="F50" i="4"/>
  <c r="E50" i="4"/>
  <c r="U49" i="4"/>
  <c r="T49" i="4"/>
  <c r="S49" i="4"/>
  <c r="P49" i="4"/>
  <c r="M49" i="4"/>
  <c r="J49" i="4"/>
  <c r="G49" i="4"/>
  <c r="U48" i="4"/>
  <c r="T48" i="4"/>
  <c r="S48" i="4"/>
  <c r="P48" i="4"/>
  <c r="M48" i="4"/>
  <c r="J48" i="4"/>
  <c r="G48" i="4"/>
  <c r="U47" i="4"/>
  <c r="T47" i="4"/>
  <c r="S47" i="4"/>
  <c r="P47" i="4"/>
  <c r="M47" i="4"/>
  <c r="J47" i="4"/>
  <c r="G47" i="4"/>
  <c r="U46" i="4"/>
  <c r="T46" i="4"/>
  <c r="S46" i="4"/>
  <c r="P46" i="4"/>
  <c r="M46" i="4"/>
  <c r="J46" i="4"/>
  <c r="G46" i="4"/>
  <c r="U45" i="4"/>
  <c r="T45" i="4"/>
  <c r="S45" i="4"/>
  <c r="P45" i="4"/>
  <c r="M45" i="4"/>
  <c r="J45" i="4"/>
  <c r="G45" i="4"/>
  <c r="R44" i="4"/>
  <c r="Q44" i="4"/>
  <c r="O44" i="4"/>
  <c r="N44" i="4"/>
  <c r="L44" i="4"/>
  <c r="K44" i="4"/>
  <c r="I44" i="4"/>
  <c r="H44" i="4"/>
  <c r="F44" i="4"/>
  <c r="E44" i="4"/>
  <c r="U43" i="4"/>
  <c r="T43" i="4"/>
  <c r="S43" i="4"/>
  <c r="P43" i="4"/>
  <c r="M43" i="4"/>
  <c r="J43" i="4"/>
  <c r="G43" i="4"/>
  <c r="U42" i="4"/>
  <c r="T42" i="4"/>
  <c r="S42" i="4"/>
  <c r="P42" i="4"/>
  <c r="M42" i="4"/>
  <c r="J42" i="4"/>
  <c r="G42" i="4"/>
  <c r="U41" i="4"/>
  <c r="T41" i="4"/>
  <c r="S41" i="4"/>
  <c r="P41" i="4"/>
  <c r="M41" i="4"/>
  <c r="J41" i="4"/>
  <c r="G41" i="4"/>
  <c r="R40" i="4"/>
  <c r="Q40" i="4"/>
  <c r="O40" i="4"/>
  <c r="N40" i="4"/>
  <c r="L40" i="4"/>
  <c r="K40" i="4"/>
  <c r="I40" i="4"/>
  <c r="H40" i="4"/>
  <c r="U38" i="4"/>
  <c r="T38" i="4"/>
  <c r="S38" i="4"/>
  <c r="P38" i="4"/>
  <c r="M38" i="4"/>
  <c r="J38" i="4"/>
  <c r="G38" i="4"/>
  <c r="U37" i="4"/>
  <c r="T37" i="4"/>
  <c r="S37" i="4"/>
  <c r="P37" i="4"/>
  <c r="M37" i="4"/>
  <c r="J37" i="4"/>
  <c r="G37" i="4"/>
  <c r="U36" i="4"/>
  <c r="T36" i="4"/>
  <c r="S36" i="4"/>
  <c r="P36" i="4"/>
  <c r="M36" i="4"/>
  <c r="J36" i="4"/>
  <c r="G36" i="4"/>
  <c r="U35" i="4"/>
  <c r="T35" i="4"/>
  <c r="S35" i="4"/>
  <c r="P35" i="4"/>
  <c r="M35" i="4"/>
  <c r="J35" i="4"/>
  <c r="G35" i="4"/>
  <c r="R34" i="4"/>
  <c r="Q34" i="4"/>
  <c r="O34" i="4"/>
  <c r="N34" i="4"/>
  <c r="L34" i="4"/>
  <c r="K34" i="4"/>
  <c r="I34" i="4"/>
  <c r="H34" i="4"/>
  <c r="F34" i="4"/>
  <c r="E34" i="4"/>
  <c r="U33" i="4"/>
  <c r="T33" i="4"/>
  <c r="S33" i="4"/>
  <c r="P33" i="4"/>
  <c r="M33" i="4"/>
  <c r="J33" i="4"/>
  <c r="G33" i="4"/>
  <c r="U32" i="4"/>
  <c r="T32" i="4"/>
  <c r="S32" i="4"/>
  <c r="P32" i="4"/>
  <c r="M32" i="4"/>
  <c r="J32" i="4"/>
  <c r="G32" i="4"/>
  <c r="U31" i="4"/>
  <c r="T31" i="4"/>
  <c r="S31" i="4"/>
  <c r="P31" i="4"/>
  <c r="M31" i="4"/>
  <c r="J31" i="4"/>
  <c r="G31" i="4"/>
  <c r="R30" i="4"/>
  <c r="Q30" i="4"/>
  <c r="O30" i="4"/>
  <c r="N30" i="4"/>
  <c r="L30" i="4"/>
  <c r="K30" i="4"/>
  <c r="I30" i="4"/>
  <c r="H30" i="4"/>
  <c r="F30" i="4"/>
  <c r="E30" i="4"/>
  <c r="U29" i="4"/>
  <c r="T29" i="4"/>
  <c r="S29" i="4"/>
  <c r="P29" i="4"/>
  <c r="M29" i="4"/>
  <c r="J29" i="4"/>
  <c r="G29" i="4"/>
  <c r="U28" i="4"/>
  <c r="T28" i="4"/>
  <c r="S28" i="4"/>
  <c r="P28" i="4"/>
  <c r="M28" i="4"/>
  <c r="J28" i="4"/>
  <c r="G28" i="4"/>
  <c r="U27" i="4"/>
  <c r="T27" i="4"/>
  <c r="S27" i="4"/>
  <c r="P27" i="4"/>
  <c r="M27" i="4"/>
  <c r="J27" i="4"/>
  <c r="G27" i="4"/>
  <c r="U25" i="4"/>
  <c r="T25" i="4"/>
  <c r="S25" i="4"/>
  <c r="P25" i="4"/>
  <c r="M25" i="4"/>
  <c r="J25" i="4"/>
  <c r="G25" i="4"/>
  <c r="R23" i="4"/>
  <c r="Q23" i="4"/>
  <c r="O23" i="4"/>
  <c r="N23" i="4"/>
  <c r="L23" i="4"/>
  <c r="K23" i="4"/>
  <c r="I23" i="4"/>
  <c r="H23" i="4"/>
  <c r="F23" i="4"/>
  <c r="E23" i="4"/>
  <c r="U22" i="4"/>
  <c r="T22" i="4"/>
  <c r="S22" i="4"/>
  <c r="P22" i="4"/>
  <c r="M22" i="4"/>
  <c r="J22" i="4"/>
  <c r="G22" i="4"/>
  <c r="U21" i="4"/>
  <c r="T21" i="4"/>
  <c r="S21" i="4"/>
  <c r="P21" i="4"/>
  <c r="M21" i="4"/>
  <c r="J21" i="4"/>
  <c r="G21" i="4"/>
  <c r="U20" i="4"/>
  <c r="T20" i="4"/>
  <c r="S20" i="4"/>
  <c r="P20" i="4"/>
  <c r="M20" i="4"/>
  <c r="J20" i="4"/>
  <c r="G20" i="4"/>
  <c r="R19" i="4"/>
  <c r="Q19" i="4"/>
  <c r="O19" i="4"/>
  <c r="N19" i="4"/>
  <c r="L19" i="4"/>
  <c r="K19" i="4"/>
  <c r="I19" i="4"/>
  <c r="H19" i="4"/>
  <c r="F19" i="4"/>
  <c r="E19" i="4"/>
  <c r="U18" i="4"/>
  <c r="T18" i="4"/>
  <c r="S18" i="4"/>
  <c r="P18" i="4"/>
  <c r="M18" i="4"/>
  <c r="J18" i="4"/>
  <c r="G18" i="4"/>
  <c r="U17" i="4"/>
  <c r="T17" i="4"/>
  <c r="S17" i="4"/>
  <c r="P17" i="4"/>
  <c r="M17" i="4"/>
  <c r="J17" i="4"/>
  <c r="G17" i="4"/>
  <c r="U16" i="4"/>
  <c r="T16" i="4"/>
  <c r="S16" i="4"/>
  <c r="P16" i="4"/>
  <c r="M16" i="4"/>
  <c r="J16" i="4"/>
  <c r="G16" i="4"/>
  <c r="U15" i="4"/>
  <c r="T15" i="4"/>
  <c r="S15" i="4"/>
  <c r="P15" i="4"/>
  <c r="M15" i="4"/>
  <c r="J15" i="4"/>
  <c r="G15" i="4"/>
  <c r="U14" i="4"/>
  <c r="T14" i="4"/>
  <c r="S14" i="4"/>
  <c r="P14" i="4"/>
  <c r="M14" i="4"/>
  <c r="J14" i="4"/>
  <c r="G14" i="4"/>
  <c r="R13" i="4"/>
  <c r="Q13" i="4"/>
  <c r="O13" i="4"/>
  <c r="N13" i="4"/>
  <c r="N24" i="4" s="1"/>
  <c r="L13" i="4"/>
  <c r="K13" i="4"/>
  <c r="I13" i="4"/>
  <c r="H13" i="4"/>
  <c r="H24" i="4" s="1"/>
  <c r="F13" i="4"/>
  <c r="E13" i="4"/>
  <c r="U12" i="4"/>
  <c r="T12" i="4"/>
  <c r="S12" i="4"/>
  <c r="P12" i="4"/>
  <c r="M12" i="4"/>
  <c r="J12" i="4"/>
  <c r="G12" i="4"/>
  <c r="U11" i="4"/>
  <c r="T11" i="4"/>
  <c r="S11" i="4"/>
  <c r="P11" i="4"/>
  <c r="M11" i="4"/>
  <c r="J11" i="4"/>
  <c r="G11" i="4"/>
  <c r="U10" i="4"/>
  <c r="T10" i="4"/>
  <c r="S10" i="4"/>
  <c r="P10" i="4"/>
  <c r="M10" i="4"/>
  <c r="J10" i="4"/>
  <c r="G10" i="4"/>
  <c r="U9" i="4"/>
  <c r="T9" i="4"/>
  <c r="S9" i="4"/>
  <c r="P9" i="4"/>
  <c r="M9" i="4"/>
  <c r="J9" i="4"/>
  <c r="G9" i="4"/>
  <c r="U8" i="4"/>
  <c r="T8" i="4"/>
  <c r="S8" i="4"/>
  <c r="P8" i="4"/>
  <c r="M8" i="4"/>
  <c r="J8" i="4"/>
  <c r="G8" i="4"/>
  <c r="U7" i="4"/>
  <c r="T7" i="4"/>
  <c r="S7" i="4"/>
  <c r="P7" i="4"/>
  <c r="M7" i="4"/>
  <c r="J7" i="4"/>
  <c r="G7" i="4"/>
  <c r="U6" i="4"/>
  <c r="T6" i="4"/>
  <c r="S6" i="4"/>
  <c r="P6" i="4"/>
  <c r="M6" i="4"/>
  <c r="J6" i="4"/>
  <c r="G6" i="4"/>
  <c r="K51" i="4" l="1"/>
  <c r="V73" i="4"/>
  <c r="J87" i="4"/>
  <c r="V86" i="4"/>
  <c r="V96" i="4"/>
  <c r="J119" i="4"/>
  <c r="V118" i="4"/>
  <c r="S123" i="4"/>
  <c r="V171" i="4"/>
  <c r="W16" i="5"/>
  <c r="W21" i="6"/>
  <c r="Q51" i="4"/>
  <c r="V79" i="4"/>
  <c r="P123" i="4"/>
  <c r="V23" i="5"/>
  <c r="M25" i="6"/>
  <c r="S25" i="6"/>
  <c r="U13" i="6"/>
  <c r="V24" i="6"/>
  <c r="V93" i="4"/>
  <c r="P98" i="4"/>
  <c r="O169" i="4"/>
  <c r="M119" i="4"/>
  <c r="V121" i="4"/>
  <c r="E24" i="4"/>
  <c r="K24" i="4"/>
  <c r="Q24" i="4"/>
  <c r="W20" i="5"/>
  <c r="L72" i="4"/>
  <c r="R72" i="4"/>
  <c r="H51" i="4"/>
  <c r="N51" i="4"/>
  <c r="T51" i="4" s="1"/>
  <c r="W8" i="5"/>
  <c r="T40" i="4"/>
  <c r="T50" i="4"/>
  <c r="P200" i="4"/>
  <c r="V197" i="4"/>
  <c r="U200" i="4"/>
  <c r="J206" i="4"/>
  <c r="V204" i="4"/>
  <c r="G213" i="4"/>
  <c r="S213" i="4"/>
  <c r="V211" i="4"/>
  <c r="V60" i="4"/>
  <c r="V9" i="4"/>
  <c r="M19" i="4"/>
  <c r="V16" i="4"/>
  <c r="U19" i="4"/>
  <c r="J23" i="4"/>
  <c r="T23" i="4"/>
  <c r="M30" i="4"/>
  <c r="V28" i="4"/>
  <c r="G34" i="4"/>
  <c r="S34" i="4"/>
  <c r="U34" i="4"/>
  <c r="J40" i="4"/>
  <c r="V38" i="4"/>
  <c r="P44" i="4"/>
  <c r="V42" i="4"/>
  <c r="S50" i="4"/>
  <c r="V49" i="4"/>
  <c r="U146" i="4"/>
  <c r="U153" i="4"/>
  <c r="U160" i="4"/>
  <c r="T168" i="4"/>
  <c r="T177" i="4"/>
  <c r="P194" i="4"/>
  <c r="V179" i="4"/>
  <c r="V183" i="4"/>
  <c r="V187" i="4"/>
  <c r="P94" i="4"/>
  <c r="V99" i="4"/>
  <c r="V103" i="4"/>
  <c r="J114" i="4"/>
  <c r="M114" i="4"/>
  <c r="V111" i="4"/>
  <c r="S133" i="4"/>
  <c r="V128" i="4"/>
  <c r="V132" i="4"/>
  <c r="P141" i="4"/>
  <c r="V135" i="4"/>
  <c r="V139" i="4"/>
  <c r="G146" i="4"/>
  <c r="S146" i="4"/>
  <c r="M153" i="4"/>
  <c r="M160" i="4"/>
  <c r="V156" i="4"/>
  <c r="M168" i="4"/>
  <c r="V163" i="4"/>
  <c r="V167" i="4"/>
  <c r="P177" i="4"/>
  <c r="V176" i="4"/>
  <c r="J71" i="4"/>
  <c r="V66" i="4"/>
  <c r="V70" i="4"/>
  <c r="J13" i="4"/>
  <c r="P62" i="4"/>
  <c r="V53" i="4"/>
  <c r="V57" i="4"/>
  <c r="V89" i="4"/>
  <c r="T19" i="4"/>
  <c r="T200" i="4"/>
  <c r="U206" i="4"/>
  <c r="F72" i="4"/>
  <c r="U72" i="4" s="1"/>
  <c r="G50" i="4"/>
  <c r="E51" i="4"/>
  <c r="L195" i="4"/>
  <c r="H214" i="4"/>
  <c r="N214" i="4"/>
  <c r="F195" i="4"/>
  <c r="R195" i="4"/>
  <c r="M13" i="4"/>
  <c r="V8" i="4"/>
  <c r="V12" i="4"/>
  <c r="F24" i="4"/>
  <c r="L24" i="4"/>
  <c r="R24" i="4"/>
  <c r="P19" i="4"/>
  <c r="V15" i="4"/>
  <c r="M23" i="4"/>
  <c r="V22" i="4"/>
  <c r="P30" i="4"/>
  <c r="V27" i="4"/>
  <c r="I51" i="4"/>
  <c r="O51" i="4"/>
  <c r="V149" i="4"/>
  <c r="P13" i="4"/>
  <c r="G19" i="4"/>
  <c r="V18" i="4"/>
  <c r="V21" i="4"/>
  <c r="G30" i="4"/>
  <c r="M34" i="4"/>
  <c r="V33" i="4"/>
  <c r="P40" i="4"/>
  <c r="J44" i="4"/>
  <c r="T44" i="4"/>
  <c r="M50" i="4"/>
  <c r="V47" i="4"/>
  <c r="U50" i="4"/>
  <c r="J62" i="4"/>
  <c r="V7" i="4"/>
  <c r="V11" i="4"/>
  <c r="S19" i="4"/>
  <c r="P23" i="4"/>
  <c r="S30" i="4"/>
  <c r="V36" i="4"/>
  <c r="U40" i="4"/>
  <c r="G13" i="4"/>
  <c r="G24" i="4" s="1"/>
  <c r="S13" i="4"/>
  <c r="V10" i="4"/>
  <c r="I24" i="4"/>
  <c r="O24" i="4"/>
  <c r="J19" i="4"/>
  <c r="V17" i="4"/>
  <c r="G23" i="4"/>
  <c r="S23" i="4"/>
  <c r="U23" i="4"/>
  <c r="J30" i="4"/>
  <c r="V29" i="4"/>
  <c r="F51" i="4"/>
  <c r="L51" i="4"/>
  <c r="R51" i="4"/>
  <c r="P34" i="4"/>
  <c r="V32" i="4"/>
  <c r="G40" i="4"/>
  <c r="S40" i="4"/>
  <c r="J34" i="4"/>
  <c r="T34" i="4"/>
  <c r="M40" i="4"/>
  <c r="V37" i="4"/>
  <c r="G44" i="4"/>
  <c r="S44" i="4"/>
  <c r="U44" i="4"/>
  <c r="J50" i="4"/>
  <c r="V48" i="4"/>
  <c r="G62" i="4"/>
  <c r="S62" i="4"/>
  <c r="V56" i="4"/>
  <c r="E72" i="4"/>
  <c r="K72" i="4"/>
  <c r="Q72" i="4"/>
  <c r="M71" i="4"/>
  <c r="V65" i="4"/>
  <c r="V69" i="4"/>
  <c r="J76" i="4"/>
  <c r="T76" i="4"/>
  <c r="K107" i="4"/>
  <c r="Q107" i="4"/>
  <c r="U78" i="4"/>
  <c r="J82" i="4"/>
  <c r="T82" i="4"/>
  <c r="M87" i="4"/>
  <c r="V85" i="4"/>
  <c r="V88" i="4"/>
  <c r="S94" i="4"/>
  <c r="V92" i="4"/>
  <c r="V95" i="4"/>
  <c r="S98" i="4"/>
  <c r="U98" i="4"/>
  <c r="J106" i="4"/>
  <c r="V102" i="4"/>
  <c r="T106" i="4"/>
  <c r="V110" i="4"/>
  <c r="K169" i="4"/>
  <c r="V117" i="4"/>
  <c r="V120" i="4"/>
  <c r="U123" i="4"/>
  <c r="J133" i="4"/>
  <c r="V127" i="4"/>
  <c r="V131" i="4"/>
  <c r="G141" i="4"/>
  <c r="S141" i="4"/>
  <c r="V138" i="4"/>
  <c r="U141" i="4"/>
  <c r="J146" i="4"/>
  <c r="V145" i="4"/>
  <c r="P153" i="4"/>
  <c r="V148" i="4"/>
  <c r="V152" i="4"/>
  <c r="P160" i="4"/>
  <c r="V155" i="4"/>
  <c r="V159" i="4"/>
  <c r="P168" i="4"/>
  <c r="V162" i="4"/>
  <c r="V166" i="4"/>
  <c r="G177" i="4"/>
  <c r="S177" i="4"/>
  <c r="V174" i="4"/>
  <c r="G194" i="4"/>
  <c r="S194" i="4"/>
  <c r="V182" i="4"/>
  <c r="V186" i="4"/>
  <c r="V190" i="4"/>
  <c r="H195" i="4"/>
  <c r="N195" i="4"/>
  <c r="G200" i="4"/>
  <c r="S200" i="4"/>
  <c r="M206" i="4"/>
  <c r="V203" i="4"/>
  <c r="J213" i="4"/>
  <c r="V210" i="4"/>
  <c r="I214" i="4"/>
  <c r="O214" i="4"/>
  <c r="W7" i="5"/>
  <c r="W11" i="5"/>
  <c r="W15" i="5"/>
  <c r="W19" i="5"/>
  <c r="W8" i="6"/>
  <c r="W16" i="6"/>
  <c r="V18" i="6"/>
  <c r="W20" i="6"/>
  <c r="V55" i="4"/>
  <c r="V61" i="4"/>
  <c r="P71" i="4"/>
  <c r="V64" i="4"/>
  <c r="V68" i="4"/>
  <c r="T71" i="4"/>
  <c r="M76" i="4"/>
  <c r="V75" i="4"/>
  <c r="F107" i="4"/>
  <c r="L107" i="4"/>
  <c r="R107" i="4"/>
  <c r="M82" i="4"/>
  <c r="V81" i="4"/>
  <c r="P87" i="4"/>
  <c r="V84" i="4"/>
  <c r="U87" i="4"/>
  <c r="J94" i="4"/>
  <c r="V91" i="4"/>
  <c r="U94" i="4"/>
  <c r="J98" i="4"/>
  <c r="M106" i="4"/>
  <c r="V101" i="4"/>
  <c r="V105" i="4"/>
  <c r="P114" i="4"/>
  <c r="V109" i="4"/>
  <c r="V113" i="4"/>
  <c r="F169" i="4"/>
  <c r="L169" i="4"/>
  <c r="R169" i="4"/>
  <c r="P119" i="4"/>
  <c r="V116" i="4"/>
  <c r="U119" i="4"/>
  <c r="J123" i="4"/>
  <c r="T123" i="4"/>
  <c r="M133" i="4"/>
  <c r="V126" i="4"/>
  <c r="V130" i="4"/>
  <c r="U133" i="4"/>
  <c r="J141" i="4"/>
  <c r="V137" i="4"/>
  <c r="T141" i="4"/>
  <c r="M146" i="4"/>
  <c r="V144" i="4"/>
  <c r="G153" i="4"/>
  <c r="S153" i="4"/>
  <c r="V151" i="4"/>
  <c r="G160" i="4"/>
  <c r="S160" i="4"/>
  <c r="V158" i="4"/>
  <c r="G168" i="4"/>
  <c r="S168" i="4"/>
  <c r="V165" i="4"/>
  <c r="U168" i="4"/>
  <c r="J177" i="4"/>
  <c r="V173" i="4"/>
  <c r="U177" i="4"/>
  <c r="J194" i="4"/>
  <c r="V181" i="4"/>
  <c r="V185" i="4"/>
  <c r="V189" i="4"/>
  <c r="I195" i="4"/>
  <c r="O195" i="4"/>
  <c r="J200" i="4"/>
  <c r="V199" i="4"/>
  <c r="P206" i="4"/>
  <c r="V202" i="4"/>
  <c r="T206" i="4"/>
  <c r="M213" i="4"/>
  <c r="V209" i="4"/>
  <c r="E214" i="4"/>
  <c r="K214" i="4"/>
  <c r="Q214" i="4"/>
  <c r="L25" i="5"/>
  <c r="R25" i="5"/>
  <c r="W14" i="5"/>
  <c r="U18" i="5"/>
  <c r="W22" i="5"/>
  <c r="W7" i="6"/>
  <c r="W11" i="6"/>
  <c r="V13" i="6"/>
  <c r="W15" i="6"/>
  <c r="W19" i="6"/>
  <c r="U24" i="6"/>
  <c r="M44" i="4"/>
  <c r="V43" i="4"/>
  <c r="P50" i="4"/>
  <c r="V46" i="4"/>
  <c r="M62" i="4"/>
  <c r="V54" i="4"/>
  <c r="V58" i="4"/>
  <c r="H72" i="4"/>
  <c r="N72" i="4"/>
  <c r="G71" i="4"/>
  <c r="S71" i="4"/>
  <c r="V67" i="4"/>
  <c r="P76" i="4"/>
  <c r="V74" i="4"/>
  <c r="S76" i="4"/>
  <c r="H107" i="4"/>
  <c r="N107" i="4"/>
  <c r="V77" i="4"/>
  <c r="P82" i="4"/>
  <c r="V80" i="4"/>
  <c r="S82" i="4"/>
  <c r="V83" i="4"/>
  <c r="S87" i="4"/>
  <c r="M94" i="4"/>
  <c r="V90" i="4"/>
  <c r="M98" i="4"/>
  <c r="V97" i="4"/>
  <c r="P106" i="4"/>
  <c r="V100" i="4"/>
  <c r="S106" i="4"/>
  <c r="V104" i="4"/>
  <c r="V108" i="4"/>
  <c r="S114" i="4"/>
  <c r="V112" i="4"/>
  <c r="H169" i="4"/>
  <c r="N169" i="4"/>
  <c r="V115" i="4"/>
  <c r="S119" i="4"/>
  <c r="M123" i="4"/>
  <c r="V122" i="4"/>
  <c r="P133" i="4"/>
  <c r="V125" i="4"/>
  <c r="V129" i="4"/>
  <c r="M141" i="4"/>
  <c r="V136" i="4"/>
  <c r="V140" i="4"/>
  <c r="P146" i="4"/>
  <c r="V143" i="4"/>
  <c r="J153" i="4"/>
  <c r="V150" i="4"/>
  <c r="J160" i="4"/>
  <c r="V157" i="4"/>
  <c r="J168" i="4"/>
  <c r="V164" i="4"/>
  <c r="M177" i="4"/>
  <c r="V172" i="4"/>
  <c r="M194" i="4"/>
  <c r="V180" i="4"/>
  <c r="V184" i="4"/>
  <c r="V188" i="4"/>
  <c r="E195" i="4"/>
  <c r="K195" i="4"/>
  <c r="Q195" i="4"/>
  <c r="M200" i="4"/>
  <c r="V198" i="4"/>
  <c r="G206" i="4"/>
  <c r="G214" i="4" s="1"/>
  <c r="S206" i="4"/>
  <c r="S214" i="4" s="1"/>
  <c r="V205" i="4"/>
  <c r="P213" i="4"/>
  <c r="V208" i="4"/>
  <c r="V212" i="4"/>
  <c r="F214" i="4"/>
  <c r="L214" i="4"/>
  <c r="R214" i="4"/>
  <c r="V9" i="5"/>
  <c r="U13" i="5"/>
  <c r="V17" i="5"/>
  <c r="W21" i="5"/>
  <c r="J25" i="6"/>
  <c r="P25" i="6"/>
  <c r="W14" i="6"/>
  <c r="W22" i="6"/>
  <c r="V10" i="6"/>
  <c r="G25" i="6"/>
  <c r="F25" i="6"/>
  <c r="U10" i="6"/>
  <c r="I25" i="6"/>
  <c r="L25" i="6"/>
  <c r="O25" i="6"/>
  <c r="R25" i="6"/>
  <c r="K9" i="6"/>
  <c r="K10" i="6" s="1"/>
  <c r="Q9" i="6"/>
  <c r="Q10" i="6" s="1"/>
  <c r="U9" i="6"/>
  <c r="K12" i="6"/>
  <c r="K13" i="6" s="1"/>
  <c r="Q12" i="6"/>
  <c r="Q13" i="6" s="1"/>
  <c r="U12" i="6"/>
  <c r="K17" i="6"/>
  <c r="K18" i="6" s="1"/>
  <c r="Q17" i="6"/>
  <c r="Q18" i="6" s="1"/>
  <c r="U17" i="6"/>
  <c r="K23" i="6"/>
  <c r="K24" i="6" s="1"/>
  <c r="Q23" i="6"/>
  <c r="Q24" i="6" s="1"/>
  <c r="U23" i="6"/>
  <c r="H9" i="6"/>
  <c r="N9" i="6"/>
  <c r="N10" i="6" s="1"/>
  <c r="T9" i="6"/>
  <c r="T10" i="6" s="1"/>
  <c r="V9" i="6"/>
  <c r="H12" i="6"/>
  <c r="N12" i="6"/>
  <c r="N13" i="6" s="1"/>
  <c r="T12" i="6"/>
  <c r="T13" i="6" s="1"/>
  <c r="V12" i="6"/>
  <c r="H17" i="6"/>
  <c r="N17" i="6"/>
  <c r="N18" i="6" s="1"/>
  <c r="T17" i="6"/>
  <c r="T18" i="6" s="1"/>
  <c r="V17" i="6"/>
  <c r="H23" i="6"/>
  <c r="N23" i="6"/>
  <c r="N24" i="6" s="1"/>
  <c r="T23" i="6"/>
  <c r="T24" i="6" s="1"/>
  <c r="V23" i="6"/>
  <c r="J25" i="5"/>
  <c r="M25" i="5"/>
  <c r="P25" i="5"/>
  <c r="S25" i="5"/>
  <c r="F25" i="5"/>
  <c r="U10" i="5"/>
  <c r="K9" i="5"/>
  <c r="K10" i="5" s="1"/>
  <c r="Q9" i="5"/>
  <c r="Q10" i="5" s="1"/>
  <c r="U9" i="5"/>
  <c r="G10" i="5"/>
  <c r="K12" i="5"/>
  <c r="K13" i="5" s="1"/>
  <c r="Q12" i="5"/>
  <c r="Q13" i="5" s="1"/>
  <c r="U12" i="5"/>
  <c r="G13" i="5"/>
  <c r="V13" i="5" s="1"/>
  <c r="K17" i="5"/>
  <c r="K18" i="5" s="1"/>
  <c r="Q17" i="5"/>
  <c r="Q18" i="5" s="1"/>
  <c r="U17" i="5"/>
  <c r="G18" i="5"/>
  <c r="V18" i="5" s="1"/>
  <c r="K23" i="5"/>
  <c r="K24" i="5" s="1"/>
  <c r="Q23" i="5"/>
  <c r="Q24" i="5" s="1"/>
  <c r="U23" i="5"/>
  <c r="G24" i="5"/>
  <c r="V24" i="5" s="1"/>
  <c r="H9" i="5"/>
  <c r="N9" i="5"/>
  <c r="N10" i="5" s="1"/>
  <c r="T9" i="5"/>
  <c r="T10" i="5" s="1"/>
  <c r="H12" i="5"/>
  <c r="N12" i="5"/>
  <c r="N13" i="5" s="1"/>
  <c r="T12" i="5"/>
  <c r="T13" i="5" s="1"/>
  <c r="H17" i="5"/>
  <c r="N17" i="5"/>
  <c r="N18" i="5" s="1"/>
  <c r="T17" i="5"/>
  <c r="T18" i="5" s="1"/>
  <c r="H23" i="5"/>
  <c r="N23" i="5"/>
  <c r="N24" i="5" s="1"/>
  <c r="T23" i="5"/>
  <c r="T24" i="5" s="1"/>
  <c r="T24" i="4"/>
  <c r="E169" i="4"/>
  <c r="T114" i="4"/>
  <c r="V6" i="4"/>
  <c r="T13" i="4"/>
  <c r="V14" i="4"/>
  <c r="V20" i="4"/>
  <c r="V25" i="4"/>
  <c r="T30" i="4"/>
  <c r="V31" i="4"/>
  <c r="V35" i="4"/>
  <c r="V41" i="4"/>
  <c r="V45" i="4"/>
  <c r="V52" i="4"/>
  <c r="T62" i="4"/>
  <c r="V63" i="4"/>
  <c r="U76" i="4"/>
  <c r="T78" i="4"/>
  <c r="G78" i="4"/>
  <c r="V78" i="4" s="1"/>
  <c r="T98" i="4"/>
  <c r="G98" i="4"/>
  <c r="G114" i="4"/>
  <c r="I169" i="4"/>
  <c r="Q169" i="4"/>
  <c r="T119" i="4"/>
  <c r="G119" i="4"/>
  <c r="G133" i="4"/>
  <c r="V124" i="4"/>
  <c r="U13" i="4"/>
  <c r="U30" i="4"/>
  <c r="U62" i="4"/>
  <c r="G76" i="4"/>
  <c r="G82" i="4"/>
  <c r="G87" i="4"/>
  <c r="G94" i="4"/>
  <c r="G106" i="4"/>
  <c r="E107" i="4"/>
  <c r="U114" i="4"/>
  <c r="G123" i="4"/>
  <c r="V134" i="4"/>
  <c r="V142" i="4"/>
  <c r="V147" i="4"/>
  <c r="V154" i="4"/>
  <c r="V161" i="4"/>
  <c r="V170" i="4"/>
  <c r="V178" i="4"/>
  <c r="T194" i="4"/>
  <c r="V196" i="4"/>
  <c r="V201" i="4"/>
  <c r="V207" i="4"/>
  <c r="T213" i="4"/>
  <c r="U194" i="4"/>
  <c r="U213" i="4"/>
  <c r="P214" i="4" l="1"/>
  <c r="S169" i="4"/>
  <c r="V44" i="4"/>
  <c r="P51" i="4"/>
  <c r="V23" i="4"/>
  <c r="V206" i="4"/>
  <c r="V25" i="6"/>
  <c r="V119" i="4"/>
  <c r="U25" i="5"/>
  <c r="S195" i="4"/>
  <c r="P195" i="4"/>
  <c r="Q215" i="4"/>
  <c r="U169" i="4"/>
  <c r="V200" i="4"/>
  <c r="O215" i="4"/>
  <c r="V213" i="4"/>
  <c r="V87" i="4"/>
  <c r="V34" i="4"/>
  <c r="J214" i="4"/>
  <c r="J51" i="4"/>
  <c r="P24" i="4"/>
  <c r="U24" i="4"/>
  <c r="M24" i="4"/>
  <c r="V123" i="4"/>
  <c r="V98" i="4"/>
  <c r="J72" i="4"/>
  <c r="V141" i="4"/>
  <c r="P72" i="4"/>
  <c r="V106" i="4"/>
  <c r="V94" i="4"/>
  <c r="J24" i="4"/>
  <c r="V194" i="4"/>
  <c r="G195" i="4"/>
  <c r="M195" i="4"/>
  <c r="V71" i="4"/>
  <c r="M169" i="4"/>
  <c r="V177" i="4"/>
  <c r="H215" i="4"/>
  <c r="J195" i="4"/>
  <c r="T107" i="4"/>
  <c r="V82" i="4"/>
  <c r="V133" i="4"/>
  <c r="I215" i="4"/>
  <c r="T214" i="4"/>
  <c r="V40" i="4"/>
  <c r="S24" i="4"/>
  <c r="T195" i="4"/>
  <c r="P107" i="4"/>
  <c r="J169" i="4"/>
  <c r="U107" i="4"/>
  <c r="K215" i="4"/>
  <c r="U51" i="4"/>
  <c r="N215" i="4"/>
  <c r="M72" i="4"/>
  <c r="V146" i="4"/>
  <c r="M51" i="4"/>
  <c r="V62" i="4"/>
  <c r="V13" i="4"/>
  <c r="G72" i="4"/>
  <c r="V50" i="4"/>
  <c r="G51" i="4"/>
  <c r="F215" i="4"/>
  <c r="V30" i="4"/>
  <c r="S51" i="4"/>
  <c r="R215" i="4"/>
  <c r="U214" i="4"/>
  <c r="M214" i="4"/>
  <c r="V214" i="4" s="1"/>
  <c r="V153" i="4"/>
  <c r="P169" i="4"/>
  <c r="T72" i="4"/>
  <c r="L215" i="4"/>
  <c r="S107" i="4"/>
  <c r="V160" i="4"/>
  <c r="M107" i="4"/>
  <c r="V19" i="4"/>
  <c r="V168" i="4"/>
  <c r="J107" i="4"/>
  <c r="S72" i="4"/>
  <c r="U195" i="4"/>
  <c r="H24" i="6"/>
  <c r="W24" i="6" s="1"/>
  <c r="W23" i="6"/>
  <c r="H18" i="6"/>
  <c r="W18" i="6" s="1"/>
  <c r="W17" i="6"/>
  <c r="H13" i="6"/>
  <c r="W13" i="6" s="1"/>
  <c r="W12" i="6"/>
  <c r="H10" i="6"/>
  <c r="W9" i="6"/>
  <c r="T25" i="6"/>
  <c r="K25" i="6"/>
  <c r="U25" i="6"/>
  <c r="N25" i="6"/>
  <c r="Q25" i="6"/>
  <c r="H18" i="5"/>
  <c r="W18" i="5" s="1"/>
  <c r="W17" i="5"/>
  <c r="H10" i="5"/>
  <c r="W9" i="5"/>
  <c r="T25" i="5"/>
  <c r="K25" i="5"/>
  <c r="H24" i="5"/>
  <c r="W24" i="5" s="1"/>
  <c r="W23" i="5"/>
  <c r="H13" i="5"/>
  <c r="W13" i="5" s="1"/>
  <c r="W12" i="5"/>
  <c r="V10" i="5"/>
  <c r="G25" i="5"/>
  <c r="V25" i="5" s="1"/>
  <c r="N25" i="5"/>
  <c r="Q25" i="5"/>
  <c r="E215" i="4"/>
  <c r="V76" i="4"/>
  <c r="G107" i="4"/>
  <c r="G169" i="4"/>
  <c r="V114" i="4"/>
  <c r="T169" i="4"/>
  <c r="J215" i="4" l="1"/>
  <c r="P215" i="4"/>
  <c r="V51" i="4"/>
  <c r="V24" i="4"/>
  <c r="V169" i="4"/>
  <c r="M215" i="4"/>
  <c r="V195" i="4"/>
  <c r="V72" i="4"/>
  <c r="T215" i="4"/>
  <c r="U215" i="4"/>
  <c r="V107" i="4"/>
  <c r="S215" i="4"/>
  <c r="H25" i="6"/>
  <c r="W25" i="6" s="1"/>
  <c r="W10" i="6"/>
  <c r="H25" i="5"/>
  <c r="W25" i="5" s="1"/>
  <c r="W10" i="5"/>
  <c r="G215" i="4"/>
  <c r="V215" i="4" l="1"/>
</calcChain>
</file>

<file path=xl/sharedStrings.xml><?xml version="1.0" encoding="utf-8"?>
<sst xmlns="http://schemas.openxmlformats.org/spreadsheetml/2006/main" count="384" uniqueCount="235">
  <si>
    <t>STATISTIQUES PAR ECOLE ET PAR SOUS-CENTRE DES CANDIDATS INSCRITS AU CEP 2025 DANS LA REGION DU CENTRE</t>
  </si>
  <si>
    <t>PREMIER DÉPÔT</t>
  </si>
  <si>
    <t>DEUXIÈME DÉPÔT</t>
  </si>
  <si>
    <t>TOISIÈME DÉPÔT</t>
  </si>
  <si>
    <t>QUATRIÈME DÉPÔT</t>
  </si>
  <si>
    <t>CINQUIÈME DÉPÔT</t>
  </si>
  <si>
    <t>TOTAL</t>
  </si>
  <si>
    <t>DEPARTEMENT</t>
  </si>
  <si>
    <t>ARRONDISSEMENT</t>
  </si>
  <si>
    <t>SOUS-CENTRE</t>
  </si>
  <si>
    <t>ECOLE</t>
  </si>
  <si>
    <t>G</t>
  </si>
  <si>
    <t>F</t>
  </si>
  <si>
    <t>T</t>
  </si>
  <si>
    <t>HAUTE-SANAGA (Nanga Eboko)</t>
  </si>
  <si>
    <t>BIBEY</t>
  </si>
  <si>
    <t>BIBEY 1 EP</t>
  </si>
  <si>
    <t>ECA STE FAMILLE</t>
  </si>
  <si>
    <t>EP BIBEA</t>
  </si>
  <si>
    <t>EP BIBEY</t>
  </si>
  <si>
    <t>EP ELINGA</t>
  </si>
  <si>
    <t>EP LORA</t>
  </si>
  <si>
    <t>EP MIMBANGA</t>
  </si>
  <si>
    <t>TOTAL SOUS-CENTRE</t>
  </si>
  <si>
    <t>METEP EP</t>
  </si>
  <si>
    <t>EP LANDI</t>
  </si>
  <si>
    <t>EP MEKON III</t>
  </si>
  <si>
    <t>EP METEP</t>
  </si>
  <si>
    <t>EP NDOUMBA</t>
  </si>
  <si>
    <t>NGUINOUMA EP</t>
  </si>
  <si>
    <t>EP DEA</t>
  </si>
  <si>
    <t>EP MBELI</t>
  </si>
  <si>
    <t>EP NGUINOUMA</t>
  </si>
  <si>
    <t xml:space="preserve">TOTAL IAEB </t>
  </si>
  <si>
    <t>LEMBE-YEZOUM</t>
  </si>
  <si>
    <t>BANA EP</t>
  </si>
  <si>
    <t>EP BANA</t>
  </si>
  <si>
    <t>EP EKOUMEDOUMA</t>
  </si>
  <si>
    <t>EP MEZA'A</t>
  </si>
  <si>
    <t>EP NDOU EFOGO</t>
  </si>
  <si>
    <t>BISSO 2 EP</t>
  </si>
  <si>
    <t>EP BISSO 2</t>
  </si>
  <si>
    <t>EP MEBOLO</t>
  </si>
  <si>
    <t>EP SIMBANE</t>
  </si>
  <si>
    <t>LEMBE-YEZOUM 1 EP</t>
  </si>
  <si>
    <t>ECA NKOL-SELE</t>
  </si>
  <si>
    <t>EP EDOUMDANE</t>
  </si>
  <si>
    <t>EP ENDOUM</t>
  </si>
  <si>
    <t>EP LEMBE YEZOUM</t>
  </si>
  <si>
    <t>OBO EP</t>
  </si>
  <si>
    <t>EP EKANG</t>
  </si>
  <si>
    <t>EP NGUINDA-YEZOUM</t>
  </si>
  <si>
    <t>EP OBO</t>
  </si>
  <si>
    <t>ZOA EP</t>
  </si>
  <si>
    <t>EP KOKOA</t>
  </si>
  <si>
    <t>EP MELO</t>
  </si>
  <si>
    <t>EP MOUMA</t>
  </si>
  <si>
    <t>EP NLONG</t>
  </si>
  <si>
    <t>EP ZOA</t>
  </si>
  <si>
    <t xml:space="preserve">MBANDJOCK </t>
  </si>
  <si>
    <t>MBANDJOCK 1 SPECIAL EP</t>
  </si>
  <si>
    <t>ECA NOTRE DAME DES CHAMPS</t>
  </si>
  <si>
    <t>EP MBANDJOCK 1</t>
  </si>
  <si>
    <t>EP MBANDJOCK 2</t>
  </si>
  <si>
    <t>EP MBANDJOCK 3</t>
  </si>
  <si>
    <t>EP NDJORE</t>
  </si>
  <si>
    <t>EP QUARTIER CIVIL</t>
  </si>
  <si>
    <t>EPI MBANDJOCK</t>
  </si>
  <si>
    <t>EPL GRACE SONG</t>
  </si>
  <si>
    <t>MBANDJOCK PLATEAU EP</t>
  </si>
  <si>
    <t>ADV MBANDJOCK</t>
  </si>
  <si>
    <t>EP BIBOTO</t>
  </si>
  <si>
    <t>EP MAMBRAT 1</t>
  </si>
  <si>
    <t>EP MBANDJOCK PLATEAU</t>
  </si>
  <si>
    <t>EP MEKOMBA</t>
  </si>
  <si>
    <t>EP NDJORE 2</t>
  </si>
  <si>
    <t>EP NDO</t>
  </si>
  <si>
    <t>EP NYASSI</t>
  </si>
  <si>
    <t>MINTA</t>
  </si>
  <si>
    <t>EBANGAL EP</t>
  </si>
  <si>
    <t>EP EBANGAL</t>
  </si>
  <si>
    <t>EP MGBAGA</t>
  </si>
  <si>
    <t>EP NIO</t>
  </si>
  <si>
    <t>EKANG EP</t>
  </si>
  <si>
    <t>EP NGO'O</t>
  </si>
  <si>
    <t>MBARGUE EP</t>
  </si>
  <si>
    <t>EP MBARGUE</t>
  </si>
  <si>
    <t>EP MBINANG-MEYENE</t>
  </si>
  <si>
    <t>EP MEKON II</t>
  </si>
  <si>
    <t>MBET EP</t>
  </si>
  <si>
    <t>EP MBET</t>
  </si>
  <si>
    <t>EP MEBA</t>
  </si>
  <si>
    <t>EP MIMBANG</t>
  </si>
  <si>
    <t>EP NGUEN</t>
  </si>
  <si>
    <t>MINTA SPECIAL EP</t>
  </si>
  <si>
    <t>ECA MINTA</t>
  </si>
  <si>
    <t>EP EKAK</t>
  </si>
  <si>
    <t>EP ELOT</t>
  </si>
  <si>
    <t>EP MINTA CENTRE</t>
  </si>
  <si>
    <t>EP MINTA VILLAGE</t>
  </si>
  <si>
    <t>VELA EP</t>
  </si>
  <si>
    <t>EP AFANOVENG</t>
  </si>
  <si>
    <t>EP MEDALMBON</t>
  </si>
  <si>
    <t>EP VELA</t>
  </si>
  <si>
    <t>WALL EP</t>
  </si>
  <si>
    <t>EP ENONGBIBAK</t>
  </si>
  <si>
    <t>EP MEYAK</t>
  </si>
  <si>
    <t>EP NGOMBE</t>
  </si>
  <si>
    <t>EP NLANG</t>
  </si>
  <si>
    <t>EP TIKARE</t>
  </si>
  <si>
    <t>EP WALL</t>
  </si>
  <si>
    <t>NANGA-EBOKO</t>
  </si>
  <si>
    <t>EBENG EP</t>
  </si>
  <si>
    <t>EP BERKONG</t>
  </si>
  <si>
    <t>EP EBENG</t>
  </si>
  <si>
    <t>EP LEMBE BADJIA</t>
  </si>
  <si>
    <t>EP MBOMENDJOCK</t>
  </si>
  <si>
    <t>EP SANGA</t>
  </si>
  <si>
    <t>EP MENGOA</t>
  </si>
  <si>
    <t>MENGUE-BIBEY EP</t>
  </si>
  <si>
    <t>EP BIKANG</t>
  </si>
  <si>
    <t>EP GRAND MENGUE</t>
  </si>
  <si>
    <t>EP MENGUE KOM</t>
  </si>
  <si>
    <t>EP NGOULMEKONG</t>
  </si>
  <si>
    <t>MVOMZOCK EP</t>
  </si>
  <si>
    <t>EP MENGA'A</t>
  </si>
  <si>
    <t>EP MVOMZOK</t>
  </si>
  <si>
    <t>NANGA EBOKO CENTRE 2 EP</t>
  </si>
  <si>
    <t>ADV MOKOLO</t>
  </si>
  <si>
    <t>EP BOUNDJOU</t>
  </si>
  <si>
    <t>EP KA'A</t>
  </si>
  <si>
    <t>EP NANGA EBOKO CENTRE 3</t>
  </si>
  <si>
    <t>EP NANGA EBOKO GARE</t>
  </si>
  <si>
    <t>EP NANGA-EBOKO CENTRE 2</t>
  </si>
  <si>
    <t>EPA NANGA EBOKO CENTRE I</t>
  </si>
  <si>
    <t>NANGA EBOKO PLATEAU 1 SPECIAL EP</t>
  </si>
  <si>
    <t>EP ADVENTISTE TONG</t>
  </si>
  <si>
    <t>EP EKOMBA</t>
  </si>
  <si>
    <t>EP LES CHAMPIONS FCB NANGA EBO</t>
  </si>
  <si>
    <t>EP OKA'ASSANG</t>
  </si>
  <si>
    <t>EPA NANGA EBOKO PLATEAU 1</t>
  </si>
  <si>
    <t>EPL LA LUCIOLE</t>
  </si>
  <si>
    <t>EPPA NANGA-EBOKO PLATEAU II</t>
  </si>
  <si>
    <t>NGAMBA CAT</t>
  </si>
  <si>
    <t>EP EKONDONG</t>
  </si>
  <si>
    <t>EP MEKANGA</t>
  </si>
  <si>
    <t>EP NDJOMBE</t>
  </si>
  <si>
    <t>EP NGAMBA</t>
  </si>
  <si>
    <t>NGUINDA CAT</t>
  </si>
  <si>
    <t>CAT NGUINDA</t>
  </si>
  <si>
    <t>EP MENGANG</t>
  </si>
  <si>
    <t>EP NGUINDA</t>
  </si>
  <si>
    <t>EP NKOTNAM</t>
  </si>
  <si>
    <t>EP OKOALAT</t>
  </si>
  <si>
    <t>EP WALLA METOSSO</t>
  </si>
  <si>
    <t>OUASSA-BAMVELE EP</t>
  </si>
  <si>
    <t>EP EKONE</t>
  </si>
  <si>
    <t>EP NANGMANA-NGAMBA</t>
  </si>
  <si>
    <t>EP NDJASSI</t>
  </si>
  <si>
    <t>EP NKONDOM</t>
  </si>
  <si>
    <t>EP OUASSA BAMVELE</t>
  </si>
  <si>
    <t>EP SASSE</t>
  </si>
  <si>
    <t>SANDJA EP</t>
  </si>
  <si>
    <t>EP BISSAGA</t>
  </si>
  <si>
    <t>EP EMTSE</t>
  </si>
  <si>
    <t>EP MANGAI</t>
  </si>
  <si>
    <t>EP NGONEMVOUA</t>
  </si>
  <si>
    <t>EP SANDJA</t>
  </si>
  <si>
    <t>EP WALLA</t>
  </si>
  <si>
    <t>EP WASSA-EMTSE</t>
  </si>
  <si>
    <t>NKOTENG</t>
  </si>
  <si>
    <t>CAMSUCO EP</t>
  </si>
  <si>
    <t>EP CAMSUCO</t>
  </si>
  <si>
    <t>EP EBOMETENDE</t>
  </si>
  <si>
    <t>EP KOMBO</t>
  </si>
  <si>
    <t>EP ZILLI</t>
  </si>
  <si>
    <t>EPL VALLEE SUCRIERE</t>
  </si>
  <si>
    <t>NKOTENG-VILLE SPECIAL  EP</t>
  </si>
  <si>
    <t>ECA NKOTENG</t>
  </si>
  <si>
    <t>EP DOUA</t>
  </si>
  <si>
    <t>EP NKOTENG CHEFFERIE</t>
  </si>
  <si>
    <t>EP NKOTENG VILLE 2</t>
  </si>
  <si>
    <t>EP NKOTENG VILLE GR 1 A</t>
  </si>
  <si>
    <t>EP NKOTENG VILLE GR 1 B</t>
  </si>
  <si>
    <t>EP NKOTENG VILLE GR 4</t>
  </si>
  <si>
    <t>EP OUASSA BABOUTE</t>
  </si>
  <si>
    <t>EP QUARTIER HAOUSSA</t>
  </si>
  <si>
    <t>EPI NKOTENG VILLE GR 3</t>
  </si>
  <si>
    <t>EPL HENRI MICHEL</t>
  </si>
  <si>
    <t>EPL LA DIGNITE</t>
  </si>
  <si>
    <t>NSEM</t>
  </si>
  <si>
    <t>MBENDA EP</t>
  </si>
  <si>
    <t>EP EPEDA I</t>
  </si>
  <si>
    <t>EP MANDJOUCK</t>
  </si>
  <si>
    <t>EP MBENDA</t>
  </si>
  <si>
    <t>EP MEKON IV</t>
  </si>
  <si>
    <t>MEKONE 1 EP</t>
  </si>
  <si>
    <t>EP AMBANE</t>
  </si>
  <si>
    <t>EP MBONG</t>
  </si>
  <si>
    <t>EP MEKONE I</t>
  </si>
  <si>
    <t>EP MEYENE</t>
  </si>
  <si>
    <t>EP NYENG</t>
  </si>
  <si>
    <t>NSEM EP</t>
  </si>
  <si>
    <t>ADV NSEM</t>
  </si>
  <si>
    <t>EP BANDJA</t>
  </si>
  <si>
    <t>EP MEYANE</t>
  </si>
  <si>
    <t>EP MIMBANGA II</t>
  </si>
  <si>
    <t>EP NSEM</t>
  </si>
  <si>
    <t>TOTAL DDEB</t>
  </si>
  <si>
    <t>STATISTIQUES PAR ECOLE DES CANDIDATS INSCRITS AU FSLC 2025 DANS LA REGION DU CENTRE</t>
  </si>
  <si>
    <t>B</t>
  </si>
  <si>
    <t>MBANDJOCK</t>
  </si>
  <si>
    <t>MBANDJOCK SPECIAL GBPS</t>
  </si>
  <si>
    <t>GBPS MBANDJOCK I</t>
  </si>
  <si>
    <t>GBPS MBANDJOCK II</t>
  </si>
  <si>
    <t>MINTA SPECIAL GBPS</t>
  </si>
  <si>
    <t>GBPS MINTA</t>
  </si>
  <si>
    <t>NANGA-EBOKO PLATEAU 1 SPECIAL GBPS</t>
  </si>
  <si>
    <t>GBPS LONGO</t>
  </si>
  <si>
    <t>GBPS NANGA-EBOKO PLATEAU</t>
  </si>
  <si>
    <t>LPS BUSYBEES NANGA EBOKO</t>
  </si>
  <si>
    <t>NKOTENG-VILLE SPECIAL GBPS</t>
  </si>
  <si>
    <t>GBPS NKOTENG G II</t>
  </si>
  <si>
    <t>GBPS NKOTENG G1</t>
  </si>
  <si>
    <t>LPS HENRI MICHEL</t>
  </si>
  <si>
    <t>LPS WAC</t>
  </si>
  <si>
    <t>STATISTIQUES PAR ECOLE DES CANDIDATS INSCRITS AU CEE 2025 DANS LA REGION DU CENTRE</t>
  </si>
  <si>
    <t>EP BIKIT</t>
  </si>
  <si>
    <t>CANDIDATS LIBRES</t>
  </si>
  <si>
    <t xml:space="preserve">GBS SAINT PAUL </t>
  </si>
  <si>
    <t>CLS</t>
  </si>
  <si>
    <t>CLNS</t>
  </si>
  <si>
    <t>ECA SAINT MARC</t>
  </si>
  <si>
    <t>EP MEBOE</t>
  </si>
  <si>
    <t>EP BANKENG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</si>
</sst>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8"/>
      <name val="Arial Rounded MT Bold"/>
      <family val="2"/>
    </font>
    <font>
      <b/>
      <sz val="18"/>
      <name val="Arial Rounded MT Bold"/>
      <family val="2"/>
    </font>
    <font>
      <b/>
      <sz val="10"/>
      <color rgb="FF000000"/>
      <name val="Arial Rounded MT Bold"/>
      <family val="2"/>
    </font>
    <font>
      <sz val="10"/>
      <name val="Arial Rounded MT Bold"/>
      <family val="2"/>
    </font>
    <font>
      <sz val="10"/>
      <color rgb="FF000000"/>
      <name val="Arial Rounded MT Bold"/>
      <family val="2"/>
    </font>
    <font>
      <sz val="10"/>
      <color theme="1"/>
      <name val="Arial Rounded MT Bold"/>
      <family val="2"/>
    </font>
    <font>
      <sz val="14"/>
      <name val="Arial Rounded MT Bold"/>
      <family val="2"/>
    </font>
    <font>
      <sz val="14"/>
      <color theme="1"/>
      <name val="Arial Rounded MT Bold"/>
      <family val="2"/>
    </font>
    <font>
      <b/>
      <sz val="9"/>
      <color rgb="FF000000"/>
      <name val="Arial Rounded MT Bold"/>
      <family val="2"/>
    </font>
    <font>
      <sz val="9"/>
      <name val="Arial Rounded MT Bold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4">
    <xf numFmtId="0" fontId="0" fillId="0" borderId="0" xfId="0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5" fillId="9" borderId="2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2" xfId="1" applyFont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3" fontId="6" fillId="0" borderId="2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 wrapText="1"/>
    </xf>
    <xf numFmtId="0" fontId="5" fillId="8" borderId="2" xfId="1" applyFont="1" applyFill="1" applyBorder="1" applyAlignment="1">
      <alignment horizontal="left" vertical="center" wrapText="1"/>
    </xf>
    <xf numFmtId="0" fontId="7" fillId="8" borderId="2" xfId="1" applyFont="1" applyFill="1" applyBorder="1" applyAlignment="1">
      <alignment horizontal="center" vertical="center" wrapText="1"/>
    </xf>
    <xf numFmtId="3" fontId="7" fillId="8" borderId="2" xfId="1" applyNumberFormat="1" applyFont="1" applyFill="1" applyBorder="1" applyAlignment="1">
      <alignment horizontal="center" vertical="center" wrapText="1"/>
    </xf>
    <xf numFmtId="3" fontId="6" fillId="8" borderId="2" xfId="1" applyNumberFormat="1" applyFont="1" applyFill="1" applyBorder="1" applyAlignment="1">
      <alignment horizontal="center" vertical="center"/>
    </xf>
    <xf numFmtId="0" fontId="7" fillId="10" borderId="2" xfId="1" applyFont="1" applyFill="1" applyBorder="1" applyAlignment="1">
      <alignment horizontal="center" vertical="center" wrapText="1"/>
    </xf>
    <xf numFmtId="3" fontId="7" fillId="10" borderId="2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3" fontId="6" fillId="10" borderId="2" xfId="1" applyNumberFormat="1" applyFont="1" applyFill="1" applyBorder="1" applyAlignment="1">
      <alignment horizontal="center" vertical="center"/>
    </xf>
    <xf numFmtId="0" fontId="6" fillId="8" borderId="0" xfId="1" applyFont="1" applyFill="1" applyAlignment="1">
      <alignment horizontal="center" vertical="center"/>
    </xf>
    <xf numFmtId="3" fontId="7" fillId="11" borderId="2" xfId="1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 vertical="center"/>
    </xf>
    <xf numFmtId="0" fontId="6" fillId="0" borderId="0" xfId="1" applyFont="1"/>
    <xf numFmtId="0" fontId="6" fillId="0" borderId="0" xfId="1" applyFont="1" applyAlignment="1">
      <alignment vertical="center"/>
    </xf>
    <xf numFmtId="0" fontId="8" fillId="0" borderId="0" xfId="0" applyFont="1"/>
    <xf numFmtId="0" fontId="9" fillId="0" borderId="0" xfId="1" applyFont="1"/>
    <xf numFmtId="0" fontId="10" fillId="0" borderId="0" xfId="0" applyFont="1"/>
    <xf numFmtId="0" fontId="11" fillId="9" borderId="2" xfId="1" applyFont="1" applyFill="1" applyBorder="1" applyAlignment="1">
      <alignment horizontal="center" vertical="center"/>
    </xf>
    <xf numFmtId="0" fontId="11" fillId="9" borderId="2" xfId="1" applyFont="1" applyFill="1" applyBorder="1" applyAlignment="1">
      <alignment horizontal="left" vertical="center"/>
    </xf>
    <xf numFmtId="0" fontId="12" fillId="0" borderId="0" xfId="1" applyFont="1"/>
    <xf numFmtId="0" fontId="5" fillId="13" borderId="2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6" fillId="13" borderId="2" xfId="1" applyFont="1" applyFill="1" applyBorder="1" applyAlignment="1">
      <alignment horizontal="center" vertical="center"/>
    </xf>
    <xf numFmtId="0" fontId="7" fillId="11" borderId="2" xfId="1" applyFont="1" applyFill="1" applyBorder="1" applyAlignment="1">
      <alignment horizontal="center" vertical="center" wrapText="1"/>
    </xf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5" fillId="11" borderId="6" xfId="1" applyFont="1" applyFill="1" applyBorder="1" applyAlignment="1">
      <alignment horizontal="center" vertical="center" wrapText="1"/>
    </xf>
    <xf numFmtId="0" fontId="5" fillId="11" borderId="8" xfId="1" applyFont="1" applyFill="1" applyBorder="1" applyAlignment="1">
      <alignment horizontal="center" vertical="center" wrapText="1"/>
    </xf>
    <xf numFmtId="0" fontId="5" fillId="11" borderId="7" xfId="1" applyFont="1" applyFill="1" applyBorder="1" applyAlignment="1">
      <alignment horizontal="center" vertical="center" wrapText="1"/>
    </xf>
    <xf numFmtId="0" fontId="5" fillId="10" borderId="6" xfId="1" applyFont="1" applyFill="1" applyBorder="1" applyAlignment="1">
      <alignment horizontal="center" vertical="center" wrapText="1"/>
    </xf>
    <xf numFmtId="0" fontId="5" fillId="10" borderId="7" xfId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7" fillId="0" borderId="3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4" fillId="12" borderId="0" xfId="1" applyFont="1" applyFill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/>
    </xf>
    <xf numFmtId="0" fontId="9" fillId="7" borderId="1" xfId="1" applyFont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5"/>
  <sheetViews>
    <sheetView tabSelected="1" topLeftCell="C103" zoomScale="80" zoomScaleNormal="80" workbookViewId="0">
      <selection activeCell="E113" sqref="E113"/>
    </sheetView>
  </sheetViews>
  <sheetFormatPr baseColWidth="10" defaultColWidth="9.140625" defaultRowHeight="18" customHeight="1" x14ac:dyDescent="0.25"/>
  <cols>
    <col min="1" max="1" width="17.42578125" style="4" customWidth="1"/>
    <col min="2" max="2" width="22" style="4" customWidth="1"/>
    <col min="3" max="3" width="22.7109375" style="4" customWidth="1"/>
    <col min="4" max="4" width="29.85546875" style="19" customWidth="1"/>
    <col min="5" max="5" width="13.28515625" style="4" customWidth="1"/>
    <col min="6" max="6" width="12.5703125" style="4" customWidth="1"/>
    <col min="7" max="7" width="12.7109375" style="4" customWidth="1"/>
    <col min="8" max="8" width="13.28515625" style="4" customWidth="1"/>
    <col min="9" max="9" width="12.5703125" style="4" customWidth="1"/>
    <col min="10" max="10" width="12.7109375" style="4" customWidth="1"/>
    <col min="11" max="11" width="13.28515625" style="4" customWidth="1"/>
    <col min="12" max="12" width="12.5703125" style="4" customWidth="1"/>
    <col min="13" max="13" width="12.7109375" style="4" customWidth="1"/>
    <col min="14" max="14" width="13.28515625" style="4" customWidth="1"/>
    <col min="15" max="15" width="12.5703125" style="4" customWidth="1"/>
    <col min="16" max="16" width="12.7109375" style="4" customWidth="1"/>
    <col min="17" max="17" width="13.28515625" style="4" customWidth="1"/>
    <col min="18" max="18" width="12.5703125" style="4" customWidth="1"/>
    <col min="19" max="19" width="12.7109375" style="4" customWidth="1"/>
    <col min="20" max="20" width="13.28515625" style="4" customWidth="1"/>
    <col min="21" max="21" width="12.5703125" style="4" customWidth="1"/>
    <col min="22" max="22" width="12.7109375" style="4" customWidth="1"/>
    <col min="23" max="16384" width="9.140625" style="4"/>
  </cols>
  <sheetData>
    <row r="1" spans="1:22" s="1" customFormat="1" ht="18" customHeight="1" x14ac:dyDescent="0.25">
      <c r="D1" s="2"/>
      <c r="E1" s="45" t="s">
        <v>0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4" spans="1:22" s="1" customFormat="1" ht="18" customHeight="1" x14ac:dyDescent="0.25">
      <c r="D4" s="2"/>
      <c r="E4" s="46" t="s">
        <v>1</v>
      </c>
      <c r="F4" s="46"/>
      <c r="G4" s="46"/>
      <c r="H4" s="47" t="s">
        <v>2</v>
      </c>
      <c r="I4" s="47"/>
      <c r="J4" s="47"/>
      <c r="K4" s="48" t="s">
        <v>3</v>
      </c>
      <c r="L4" s="48"/>
      <c r="M4" s="48"/>
      <c r="N4" s="49" t="s">
        <v>4</v>
      </c>
      <c r="O4" s="49"/>
      <c r="P4" s="49"/>
      <c r="Q4" s="50" t="s">
        <v>5</v>
      </c>
      <c r="R4" s="50"/>
      <c r="S4" s="50"/>
      <c r="T4" s="51" t="s">
        <v>6</v>
      </c>
      <c r="U4" s="51"/>
      <c r="V4" s="51"/>
    </row>
    <row r="5" spans="1:22" ht="18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11</v>
      </c>
      <c r="I5" s="3" t="s">
        <v>12</v>
      </c>
      <c r="J5" s="3" t="s">
        <v>13</v>
      </c>
      <c r="K5" s="3" t="s">
        <v>11</v>
      </c>
      <c r="L5" s="3" t="s">
        <v>12</v>
      </c>
      <c r="M5" s="3" t="s">
        <v>13</v>
      </c>
      <c r="N5" s="3" t="s">
        <v>11</v>
      </c>
      <c r="O5" s="3" t="s">
        <v>12</v>
      </c>
      <c r="P5" s="3" t="s">
        <v>13</v>
      </c>
      <c r="Q5" s="3" t="s">
        <v>11</v>
      </c>
      <c r="R5" s="3" t="s">
        <v>12</v>
      </c>
      <c r="S5" s="3" t="s">
        <v>13</v>
      </c>
      <c r="T5" s="3" t="s">
        <v>11</v>
      </c>
      <c r="U5" s="3" t="s">
        <v>12</v>
      </c>
      <c r="V5" s="3" t="s">
        <v>13</v>
      </c>
    </row>
    <row r="6" spans="1:22" ht="18" customHeight="1" x14ac:dyDescent="0.25">
      <c r="A6" s="41" t="s">
        <v>14</v>
      </c>
      <c r="B6" s="41" t="s">
        <v>15</v>
      </c>
      <c r="C6" s="41" t="s">
        <v>16</v>
      </c>
      <c r="D6" s="5" t="s">
        <v>17</v>
      </c>
      <c r="E6" s="6"/>
      <c r="F6" s="6"/>
      <c r="G6" s="7">
        <f>SUM(E6:F6)</f>
        <v>0</v>
      </c>
      <c r="H6" s="6"/>
      <c r="I6" s="6"/>
      <c r="J6" s="7">
        <f>SUM(H6:I6)</f>
        <v>0</v>
      </c>
      <c r="K6" s="6"/>
      <c r="L6" s="6"/>
      <c r="M6" s="7">
        <f>SUM(K6:L6)</f>
        <v>0</v>
      </c>
      <c r="N6" s="6"/>
      <c r="O6" s="6"/>
      <c r="P6" s="7">
        <f>SUM(N6:O6)</f>
        <v>0</v>
      </c>
      <c r="Q6" s="6"/>
      <c r="R6" s="6"/>
      <c r="S6" s="7">
        <f>SUM(Q6:R6)</f>
        <v>0</v>
      </c>
      <c r="T6" s="7">
        <f t="shared" ref="T6:V21" si="0">SUM(E6,H6,K6,N6,Q6)</f>
        <v>0</v>
      </c>
      <c r="U6" s="7">
        <f t="shared" si="0"/>
        <v>0</v>
      </c>
      <c r="V6" s="7">
        <f>SUM(G6,J6,M6,P6,S6)</f>
        <v>0</v>
      </c>
    </row>
    <row r="7" spans="1:22" ht="18" customHeight="1" x14ac:dyDescent="0.25">
      <c r="A7" s="42"/>
      <c r="B7" s="42"/>
      <c r="C7" s="42"/>
      <c r="D7" s="5" t="s">
        <v>18</v>
      </c>
      <c r="E7" s="6"/>
      <c r="F7" s="6"/>
      <c r="G7" s="7">
        <f>SUM(E7:F7)</f>
        <v>0</v>
      </c>
      <c r="H7" s="6"/>
      <c r="I7" s="6"/>
      <c r="J7" s="7">
        <f>SUM(H7:I7)</f>
        <v>0</v>
      </c>
      <c r="K7" s="6"/>
      <c r="L7" s="6"/>
      <c r="M7" s="7">
        <f>SUM(K7:L7)</f>
        <v>0</v>
      </c>
      <c r="N7" s="6"/>
      <c r="O7" s="6"/>
      <c r="P7" s="7">
        <f>SUM(N7:O7)</f>
        <v>0</v>
      </c>
      <c r="Q7" s="6"/>
      <c r="R7" s="6"/>
      <c r="S7" s="7">
        <f>SUM(Q7:R7)</f>
        <v>0</v>
      </c>
      <c r="T7" s="7">
        <f t="shared" si="0"/>
        <v>0</v>
      </c>
      <c r="U7" s="7">
        <f t="shared" si="0"/>
        <v>0</v>
      </c>
      <c r="V7" s="7">
        <f t="shared" si="0"/>
        <v>0</v>
      </c>
    </row>
    <row r="8" spans="1:22" ht="18" customHeight="1" x14ac:dyDescent="0.25">
      <c r="A8" s="42"/>
      <c r="B8" s="42"/>
      <c r="C8" s="42"/>
      <c r="D8" s="5" t="s">
        <v>19</v>
      </c>
      <c r="E8" s="6"/>
      <c r="F8" s="6"/>
      <c r="G8" s="7">
        <f t="shared" ref="G8:G12" si="1">SUM(E8:F8)</f>
        <v>0</v>
      </c>
      <c r="H8" s="6"/>
      <c r="I8" s="6"/>
      <c r="J8" s="7">
        <f t="shared" ref="J8" si="2">SUM(H8:I8)</f>
        <v>0</v>
      </c>
      <c r="K8" s="6"/>
      <c r="L8" s="6"/>
      <c r="M8" s="7">
        <f t="shared" ref="M8" si="3">SUM(K8:L8)</f>
        <v>0</v>
      </c>
      <c r="N8" s="6"/>
      <c r="O8" s="6"/>
      <c r="P8" s="7">
        <f t="shared" ref="P8" si="4">SUM(N8:O8)</f>
        <v>0</v>
      </c>
      <c r="Q8" s="6"/>
      <c r="R8" s="6"/>
      <c r="S8" s="7">
        <f t="shared" ref="S8" si="5">SUM(Q8:R8)</f>
        <v>0</v>
      </c>
      <c r="T8" s="7">
        <f t="shared" si="0"/>
        <v>0</v>
      </c>
      <c r="U8" s="7">
        <f t="shared" si="0"/>
        <v>0</v>
      </c>
      <c r="V8" s="7">
        <f t="shared" si="0"/>
        <v>0</v>
      </c>
    </row>
    <row r="9" spans="1:22" ht="18" customHeight="1" x14ac:dyDescent="0.25">
      <c r="A9" s="42"/>
      <c r="B9" s="42"/>
      <c r="C9" s="42"/>
      <c r="D9" s="5" t="s">
        <v>20</v>
      </c>
      <c r="E9" s="6"/>
      <c r="F9" s="6"/>
      <c r="G9" s="7">
        <f>SUM(E9:F9)</f>
        <v>0</v>
      </c>
      <c r="H9" s="6"/>
      <c r="I9" s="6"/>
      <c r="J9" s="7">
        <f>SUM(H9:I9)</f>
        <v>0</v>
      </c>
      <c r="K9" s="6"/>
      <c r="L9" s="6"/>
      <c r="M9" s="7">
        <f>SUM(K9:L9)</f>
        <v>0</v>
      </c>
      <c r="N9" s="6"/>
      <c r="O9" s="6"/>
      <c r="P9" s="7">
        <f>SUM(N9:O9)</f>
        <v>0</v>
      </c>
      <c r="Q9" s="6"/>
      <c r="R9" s="6"/>
      <c r="S9" s="7">
        <f>SUM(Q9:R9)</f>
        <v>0</v>
      </c>
      <c r="T9" s="7">
        <f t="shared" si="0"/>
        <v>0</v>
      </c>
      <c r="U9" s="7">
        <f t="shared" si="0"/>
        <v>0</v>
      </c>
      <c r="V9" s="7">
        <f t="shared" si="0"/>
        <v>0</v>
      </c>
    </row>
    <row r="10" spans="1:22" ht="18" customHeight="1" x14ac:dyDescent="0.25">
      <c r="A10" s="42"/>
      <c r="B10" s="42"/>
      <c r="C10" s="42"/>
      <c r="D10" s="5" t="s">
        <v>21</v>
      </c>
      <c r="E10" s="6"/>
      <c r="F10" s="6"/>
      <c r="G10" s="7">
        <f t="shared" si="1"/>
        <v>0</v>
      </c>
      <c r="H10" s="6"/>
      <c r="I10" s="6"/>
      <c r="J10" s="7">
        <f t="shared" ref="J10:J12" si="6">SUM(H10:I10)</f>
        <v>0</v>
      </c>
      <c r="K10" s="6"/>
      <c r="L10" s="6"/>
      <c r="M10" s="7">
        <f t="shared" ref="M10:M12" si="7">SUM(K10:L10)</f>
        <v>0</v>
      </c>
      <c r="N10" s="6"/>
      <c r="O10" s="6"/>
      <c r="P10" s="7">
        <f t="shared" ref="P10:P12" si="8">SUM(N10:O10)</f>
        <v>0</v>
      </c>
      <c r="Q10" s="6"/>
      <c r="R10" s="6"/>
      <c r="S10" s="7">
        <f t="shared" ref="S10:S12" si="9">SUM(Q10:R10)</f>
        <v>0</v>
      </c>
      <c r="T10" s="7">
        <f t="shared" si="0"/>
        <v>0</v>
      </c>
      <c r="U10" s="7">
        <f t="shared" si="0"/>
        <v>0</v>
      </c>
      <c r="V10" s="7">
        <f t="shared" si="0"/>
        <v>0</v>
      </c>
    </row>
    <row r="11" spans="1:22" ht="18" customHeight="1" x14ac:dyDescent="0.25">
      <c r="A11" s="42"/>
      <c r="B11" s="42"/>
      <c r="C11" s="42"/>
      <c r="D11" s="5" t="s">
        <v>22</v>
      </c>
      <c r="E11" s="6"/>
      <c r="F11" s="6"/>
      <c r="G11" s="7">
        <f t="shared" si="1"/>
        <v>0</v>
      </c>
      <c r="H11" s="6"/>
      <c r="I11" s="6"/>
      <c r="J11" s="7">
        <f t="shared" si="6"/>
        <v>0</v>
      </c>
      <c r="K11" s="6"/>
      <c r="L11" s="6"/>
      <c r="M11" s="7">
        <f t="shared" si="7"/>
        <v>0</v>
      </c>
      <c r="N11" s="6"/>
      <c r="O11" s="6"/>
      <c r="P11" s="7">
        <f t="shared" si="8"/>
        <v>0</v>
      </c>
      <c r="Q11" s="6"/>
      <c r="R11" s="6"/>
      <c r="S11" s="7">
        <f t="shared" si="9"/>
        <v>0</v>
      </c>
      <c r="T11" s="7">
        <f t="shared" si="0"/>
        <v>0</v>
      </c>
      <c r="U11" s="7">
        <f t="shared" si="0"/>
        <v>0</v>
      </c>
      <c r="V11" s="7">
        <f t="shared" si="0"/>
        <v>0</v>
      </c>
    </row>
    <row r="12" spans="1:22" ht="18" customHeight="1" x14ac:dyDescent="0.25">
      <c r="A12" s="42"/>
      <c r="B12" s="42"/>
      <c r="C12" s="42"/>
      <c r="D12" s="8"/>
      <c r="E12" s="7"/>
      <c r="F12" s="7"/>
      <c r="G12" s="7">
        <f t="shared" si="1"/>
        <v>0</v>
      </c>
      <c r="H12" s="6"/>
      <c r="I12" s="6"/>
      <c r="J12" s="7">
        <f t="shared" si="6"/>
        <v>0</v>
      </c>
      <c r="K12" s="6"/>
      <c r="L12" s="6"/>
      <c r="M12" s="7">
        <f t="shared" si="7"/>
        <v>0</v>
      </c>
      <c r="N12" s="6"/>
      <c r="O12" s="6"/>
      <c r="P12" s="7">
        <f t="shared" si="8"/>
        <v>0</v>
      </c>
      <c r="Q12" s="6"/>
      <c r="R12" s="6"/>
      <c r="S12" s="7">
        <f t="shared" si="9"/>
        <v>0</v>
      </c>
      <c r="T12" s="7">
        <f t="shared" si="0"/>
        <v>0</v>
      </c>
      <c r="U12" s="7">
        <f t="shared" si="0"/>
        <v>0</v>
      </c>
      <c r="V12" s="7">
        <f t="shared" si="0"/>
        <v>0</v>
      </c>
    </row>
    <row r="13" spans="1:22" ht="18" customHeight="1" x14ac:dyDescent="0.25">
      <c r="A13" s="42"/>
      <c r="B13" s="42"/>
      <c r="C13" s="43"/>
      <c r="D13" s="9" t="s">
        <v>23</v>
      </c>
      <c r="E13" s="10">
        <f t="shared" ref="E13:S13" si="10">SUM(E6:E12)</f>
        <v>0</v>
      </c>
      <c r="F13" s="10">
        <f t="shared" si="10"/>
        <v>0</v>
      </c>
      <c r="G13" s="11">
        <f t="shared" si="10"/>
        <v>0</v>
      </c>
      <c r="H13" s="10">
        <f t="shared" si="10"/>
        <v>0</v>
      </c>
      <c r="I13" s="10">
        <f t="shared" si="10"/>
        <v>0</v>
      </c>
      <c r="J13" s="11">
        <f t="shared" si="10"/>
        <v>0</v>
      </c>
      <c r="K13" s="10">
        <f t="shared" si="10"/>
        <v>0</v>
      </c>
      <c r="L13" s="10">
        <f t="shared" si="10"/>
        <v>0</v>
      </c>
      <c r="M13" s="11">
        <f t="shared" si="10"/>
        <v>0</v>
      </c>
      <c r="N13" s="10">
        <f t="shared" si="10"/>
        <v>0</v>
      </c>
      <c r="O13" s="10">
        <f t="shared" si="10"/>
        <v>0</v>
      </c>
      <c r="P13" s="11">
        <f t="shared" si="10"/>
        <v>0</v>
      </c>
      <c r="Q13" s="10">
        <f t="shared" si="10"/>
        <v>0</v>
      </c>
      <c r="R13" s="10">
        <f t="shared" si="10"/>
        <v>0</v>
      </c>
      <c r="S13" s="11">
        <f t="shared" si="10"/>
        <v>0</v>
      </c>
      <c r="T13" s="12">
        <f t="shared" si="0"/>
        <v>0</v>
      </c>
      <c r="U13" s="12">
        <f t="shared" si="0"/>
        <v>0</v>
      </c>
      <c r="V13" s="12">
        <f t="shared" si="0"/>
        <v>0</v>
      </c>
    </row>
    <row r="14" spans="1:22" ht="18" customHeight="1" x14ac:dyDescent="0.25">
      <c r="A14" s="42"/>
      <c r="B14" s="42"/>
      <c r="C14" s="41" t="s">
        <v>24</v>
      </c>
      <c r="D14" s="5" t="s">
        <v>25</v>
      </c>
      <c r="E14" s="6"/>
      <c r="F14" s="6"/>
      <c r="G14" s="7">
        <f>SUM(E14:F14)</f>
        <v>0</v>
      </c>
      <c r="H14" s="6"/>
      <c r="I14" s="6"/>
      <c r="J14" s="7">
        <f>SUM(H14:I14)</f>
        <v>0</v>
      </c>
      <c r="K14" s="6"/>
      <c r="L14" s="6"/>
      <c r="M14" s="7">
        <f>SUM(K14:L14)</f>
        <v>0</v>
      </c>
      <c r="N14" s="6"/>
      <c r="O14" s="6"/>
      <c r="P14" s="7">
        <f>SUM(N14:O14)</f>
        <v>0</v>
      </c>
      <c r="Q14" s="6"/>
      <c r="R14" s="6"/>
      <c r="S14" s="7">
        <f>SUM(Q14:R14)</f>
        <v>0</v>
      </c>
      <c r="T14" s="7">
        <f t="shared" si="0"/>
        <v>0</v>
      </c>
      <c r="U14" s="7">
        <f t="shared" si="0"/>
        <v>0</v>
      </c>
      <c r="V14" s="7">
        <f t="shared" si="0"/>
        <v>0</v>
      </c>
    </row>
    <row r="15" spans="1:22" ht="18" customHeight="1" x14ac:dyDescent="0.25">
      <c r="A15" s="42"/>
      <c r="B15" s="42"/>
      <c r="C15" s="42"/>
      <c r="D15" s="5" t="s">
        <v>26</v>
      </c>
      <c r="E15" s="6"/>
      <c r="F15" s="6"/>
      <c r="G15" s="7">
        <f>SUM(E15:F15)</f>
        <v>0</v>
      </c>
      <c r="H15" s="6"/>
      <c r="I15" s="6"/>
      <c r="J15" s="7">
        <f>SUM(H15:I15)</f>
        <v>0</v>
      </c>
      <c r="K15" s="6"/>
      <c r="L15" s="6"/>
      <c r="M15" s="7">
        <f>SUM(K15:L15)</f>
        <v>0</v>
      </c>
      <c r="N15" s="6"/>
      <c r="O15" s="6"/>
      <c r="P15" s="7">
        <f>SUM(N15:O15)</f>
        <v>0</v>
      </c>
      <c r="Q15" s="6"/>
      <c r="R15" s="6"/>
      <c r="S15" s="7">
        <f>SUM(Q15:R15)</f>
        <v>0</v>
      </c>
      <c r="T15" s="7">
        <f t="shared" si="0"/>
        <v>0</v>
      </c>
      <c r="U15" s="7">
        <f t="shared" si="0"/>
        <v>0</v>
      </c>
      <c r="V15" s="7">
        <f t="shared" si="0"/>
        <v>0</v>
      </c>
    </row>
    <row r="16" spans="1:22" ht="18" customHeight="1" x14ac:dyDescent="0.25">
      <c r="A16" s="42"/>
      <c r="B16" s="42"/>
      <c r="C16" s="42"/>
      <c r="D16" s="5" t="s">
        <v>27</v>
      </c>
      <c r="E16" s="6"/>
      <c r="F16" s="6"/>
      <c r="G16" s="7">
        <f>SUM(E16:F16)</f>
        <v>0</v>
      </c>
      <c r="H16" s="6"/>
      <c r="I16" s="6"/>
      <c r="J16" s="7">
        <f>SUM(H16:I16)</f>
        <v>0</v>
      </c>
      <c r="K16" s="6"/>
      <c r="L16" s="6"/>
      <c r="M16" s="7">
        <f>SUM(K16:L16)</f>
        <v>0</v>
      </c>
      <c r="N16" s="6"/>
      <c r="O16" s="6"/>
      <c r="P16" s="7">
        <f>SUM(N16:O16)</f>
        <v>0</v>
      </c>
      <c r="Q16" s="6"/>
      <c r="R16" s="6"/>
      <c r="S16" s="7">
        <f>SUM(Q16:R16)</f>
        <v>0</v>
      </c>
      <c r="T16" s="7">
        <f t="shared" si="0"/>
        <v>0</v>
      </c>
      <c r="U16" s="7">
        <f t="shared" si="0"/>
        <v>0</v>
      </c>
      <c r="V16" s="7">
        <f t="shared" si="0"/>
        <v>0</v>
      </c>
    </row>
    <row r="17" spans="1:22" ht="18" customHeight="1" x14ac:dyDescent="0.25">
      <c r="A17" s="42"/>
      <c r="B17" s="42"/>
      <c r="C17" s="42"/>
      <c r="D17" s="5" t="s">
        <v>28</v>
      </c>
      <c r="E17" s="6"/>
      <c r="F17" s="6"/>
      <c r="G17" s="7">
        <f>SUM(E17:F17)</f>
        <v>0</v>
      </c>
      <c r="H17" s="6"/>
      <c r="I17" s="6"/>
      <c r="J17" s="7">
        <f>SUM(H17:I17)</f>
        <v>0</v>
      </c>
      <c r="K17" s="6"/>
      <c r="L17" s="6"/>
      <c r="M17" s="7">
        <f>SUM(K17:L17)</f>
        <v>0</v>
      </c>
      <c r="N17" s="6"/>
      <c r="O17" s="6"/>
      <c r="P17" s="7">
        <f>SUM(N17:O17)</f>
        <v>0</v>
      </c>
      <c r="Q17" s="6"/>
      <c r="R17" s="6"/>
      <c r="S17" s="7">
        <f>SUM(Q17:R17)</f>
        <v>0</v>
      </c>
      <c r="T17" s="7">
        <f t="shared" si="0"/>
        <v>0</v>
      </c>
      <c r="U17" s="7">
        <f t="shared" si="0"/>
        <v>0</v>
      </c>
      <c r="V17" s="7">
        <f t="shared" si="0"/>
        <v>0</v>
      </c>
    </row>
    <row r="18" spans="1:22" ht="18" customHeight="1" x14ac:dyDescent="0.25">
      <c r="A18" s="42"/>
      <c r="B18" s="42"/>
      <c r="C18" s="42"/>
      <c r="D18" s="5"/>
      <c r="E18" s="7"/>
      <c r="F18" s="7"/>
      <c r="G18" s="7">
        <f>SUM(E18:F18)</f>
        <v>0</v>
      </c>
      <c r="H18" s="7"/>
      <c r="I18" s="7"/>
      <c r="J18" s="7">
        <f>SUM(H18:I18)</f>
        <v>0</v>
      </c>
      <c r="K18" s="7"/>
      <c r="L18" s="7"/>
      <c r="M18" s="7">
        <f>SUM(K18:L18)</f>
        <v>0</v>
      </c>
      <c r="N18" s="7"/>
      <c r="O18" s="7"/>
      <c r="P18" s="7">
        <f>SUM(N18:O18)</f>
        <v>0</v>
      </c>
      <c r="Q18" s="7"/>
      <c r="R18" s="7"/>
      <c r="S18" s="7">
        <f>SUM(Q18:R18)</f>
        <v>0</v>
      </c>
      <c r="T18" s="7">
        <f t="shared" si="0"/>
        <v>0</v>
      </c>
      <c r="U18" s="7">
        <f t="shared" si="0"/>
        <v>0</v>
      </c>
      <c r="V18" s="7">
        <f t="shared" si="0"/>
        <v>0</v>
      </c>
    </row>
    <row r="19" spans="1:22" ht="18" customHeight="1" x14ac:dyDescent="0.25">
      <c r="A19" s="42"/>
      <c r="B19" s="42"/>
      <c r="C19" s="43"/>
      <c r="D19" s="9" t="s">
        <v>23</v>
      </c>
      <c r="E19" s="10">
        <f t="shared" ref="E19:S19" si="11">SUM(E14:E18)</f>
        <v>0</v>
      </c>
      <c r="F19" s="10">
        <f t="shared" si="11"/>
        <v>0</v>
      </c>
      <c r="G19" s="11">
        <f t="shared" si="11"/>
        <v>0</v>
      </c>
      <c r="H19" s="10">
        <f t="shared" si="11"/>
        <v>0</v>
      </c>
      <c r="I19" s="10">
        <f t="shared" si="11"/>
        <v>0</v>
      </c>
      <c r="J19" s="11">
        <f t="shared" si="11"/>
        <v>0</v>
      </c>
      <c r="K19" s="10">
        <f t="shared" si="11"/>
        <v>0</v>
      </c>
      <c r="L19" s="10">
        <f t="shared" si="11"/>
        <v>0</v>
      </c>
      <c r="M19" s="11">
        <f t="shared" si="11"/>
        <v>0</v>
      </c>
      <c r="N19" s="10">
        <f t="shared" si="11"/>
        <v>0</v>
      </c>
      <c r="O19" s="10">
        <f t="shared" si="11"/>
        <v>0</v>
      </c>
      <c r="P19" s="11">
        <f t="shared" si="11"/>
        <v>0</v>
      </c>
      <c r="Q19" s="10">
        <f t="shared" si="11"/>
        <v>0</v>
      </c>
      <c r="R19" s="10">
        <f t="shared" si="11"/>
        <v>0</v>
      </c>
      <c r="S19" s="11">
        <f t="shared" si="11"/>
        <v>0</v>
      </c>
      <c r="T19" s="12">
        <f t="shared" si="0"/>
        <v>0</v>
      </c>
      <c r="U19" s="12">
        <f t="shared" si="0"/>
        <v>0</v>
      </c>
      <c r="V19" s="12">
        <f t="shared" si="0"/>
        <v>0</v>
      </c>
    </row>
    <row r="20" spans="1:22" ht="18" customHeight="1" x14ac:dyDescent="0.25">
      <c r="A20" s="42"/>
      <c r="B20" s="42"/>
      <c r="C20" s="41" t="s">
        <v>29</v>
      </c>
      <c r="D20" s="5" t="s">
        <v>30</v>
      </c>
      <c r="E20" s="6"/>
      <c r="F20" s="6"/>
      <c r="G20" s="7">
        <f>SUM(E20:F20)</f>
        <v>0</v>
      </c>
      <c r="H20" s="6"/>
      <c r="I20" s="6"/>
      <c r="J20" s="7">
        <f>SUM(H20:I20)</f>
        <v>0</v>
      </c>
      <c r="K20" s="6"/>
      <c r="L20" s="6"/>
      <c r="M20" s="7">
        <f>SUM(K20:L20)</f>
        <v>0</v>
      </c>
      <c r="N20" s="6"/>
      <c r="O20" s="6"/>
      <c r="P20" s="7">
        <f>SUM(N20:O20)</f>
        <v>0</v>
      </c>
      <c r="Q20" s="6"/>
      <c r="R20" s="6"/>
      <c r="S20" s="7">
        <f>SUM(Q20:R20)</f>
        <v>0</v>
      </c>
      <c r="T20" s="7">
        <f t="shared" si="0"/>
        <v>0</v>
      </c>
      <c r="U20" s="7">
        <f t="shared" si="0"/>
        <v>0</v>
      </c>
      <c r="V20" s="7">
        <f t="shared" si="0"/>
        <v>0</v>
      </c>
    </row>
    <row r="21" spans="1:22" ht="18" customHeight="1" x14ac:dyDescent="0.25">
      <c r="A21" s="42"/>
      <c r="B21" s="42"/>
      <c r="C21" s="42"/>
      <c r="D21" s="5" t="s">
        <v>31</v>
      </c>
      <c r="E21" s="6"/>
      <c r="F21" s="6"/>
      <c r="G21" s="7">
        <f>SUM(E21:F21)</f>
        <v>0</v>
      </c>
      <c r="H21" s="6"/>
      <c r="I21" s="6"/>
      <c r="J21" s="7">
        <f>SUM(H21:I21)</f>
        <v>0</v>
      </c>
      <c r="K21" s="6"/>
      <c r="L21" s="6"/>
      <c r="M21" s="7">
        <f>SUM(K21:L21)</f>
        <v>0</v>
      </c>
      <c r="N21" s="6"/>
      <c r="O21" s="6"/>
      <c r="P21" s="7">
        <f>SUM(N21:O21)</f>
        <v>0</v>
      </c>
      <c r="Q21" s="6"/>
      <c r="R21" s="6"/>
      <c r="S21" s="7">
        <f>SUM(Q21:R21)</f>
        <v>0</v>
      </c>
      <c r="T21" s="7">
        <f t="shared" si="0"/>
        <v>0</v>
      </c>
      <c r="U21" s="7">
        <f t="shared" si="0"/>
        <v>0</v>
      </c>
      <c r="V21" s="7">
        <f t="shared" si="0"/>
        <v>0</v>
      </c>
    </row>
    <row r="22" spans="1:22" ht="18" customHeight="1" x14ac:dyDescent="0.25">
      <c r="A22" s="42"/>
      <c r="B22" s="42"/>
      <c r="C22" s="42"/>
      <c r="D22" s="5" t="s">
        <v>32</v>
      </c>
      <c r="E22" s="7"/>
      <c r="F22" s="7"/>
      <c r="G22" s="7">
        <f>SUM(E22:F22)</f>
        <v>0</v>
      </c>
      <c r="H22" s="6"/>
      <c r="I22" s="6"/>
      <c r="J22" s="7">
        <f>SUM(H22:I22)</f>
        <v>0</v>
      </c>
      <c r="K22" s="6"/>
      <c r="L22" s="6"/>
      <c r="M22" s="7">
        <f>SUM(K22:L22)</f>
        <v>0</v>
      </c>
      <c r="N22" s="6"/>
      <c r="O22" s="6"/>
      <c r="P22" s="7">
        <f>SUM(N22:O22)</f>
        <v>0</v>
      </c>
      <c r="Q22" s="6"/>
      <c r="R22" s="6"/>
      <c r="S22" s="7">
        <f>SUM(Q22:R22)</f>
        <v>0</v>
      </c>
      <c r="T22" s="7">
        <f t="shared" ref="T22:V88" si="12">SUM(E22,H22,K22,N22,Q22)</f>
        <v>0</v>
      </c>
      <c r="U22" s="7">
        <f t="shared" si="12"/>
        <v>0</v>
      </c>
      <c r="V22" s="7">
        <f t="shared" si="12"/>
        <v>0</v>
      </c>
    </row>
    <row r="23" spans="1:22" ht="18" customHeight="1" x14ac:dyDescent="0.25">
      <c r="A23" s="42"/>
      <c r="B23" s="42"/>
      <c r="C23" s="43"/>
      <c r="D23" s="9" t="s">
        <v>23</v>
      </c>
      <c r="E23" s="10">
        <f t="shared" ref="E23:S23" si="13">SUM(E20:E22)</f>
        <v>0</v>
      </c>
      <c r="F23" s="10">
        <f t="shared" si="13"/>
        <v>0</v>
      </c>
      <c r="G23" s="10">
        <f t="shared" si="13"/>
        <v>0</v>
      </c>
      <c r="H23" s="10">
        <f t="shared" si="13"/>
        <v>0</v>
      </c>
      <c r="I23" s="10">
        <f t="shared" si="13"/>
        <v>0</v>
      </c>
      <c r="J23" s="10">
        <f t="shared" si="13"/>
        <v>0</v>
      </c>
      <c r="K23" s="10">
        <f t="shared" si="13"/>
        <v>0</v>
      </c>
      <c r="L23" s="10">
        <f t="shared" si="13"/>
        <v>0</v>
      </c>
      <c r="M23" s="10">
        <f t="shared" si="13"/>
        <v>0</v>
      </c>
      <c r="N23" s="10">
        <f t="shared" si="13"/>
        <v>0</v>
      </c>
      <c r="O23" s="10">
        <f t="shared" si="13"/>
        <v>0</v>
      </c>
      <c r="P23" s="10">
        <f t="shared" si="13"/>
        <v>0</v>
      </c>
      <c r="Q23" s="10">
        <f t="shared" si="13"/>
        <v>0</v>
      </c>
      <c r="R23" s="10">
        <f t="shared" si="13"/>
        <v>0</v>
      </c>
      <c r="S23" s="10">
        <f t="shared" si="13"/>
        <v>0</v>
      </c>
      <c r="T23" s="12">
        <f t="shared" si="12"/>
        <v>0</v>
      </c>
      <c r="U23" s="12">
        <f t="shared" si="12"/>
        <v>0</v>
      </c>
      <c r="V23" s="12">
        <f t="shared" si="12"/>
        <v>0</v>
      </c>
    </row>
    <row r="24" spans="1:22" ht="18" customHeight="1" x14ac:dyDescent="0.25">
      <c r="A24" s="42"/>
      <c r="B24" s="43"/>
      <c r="C24" s="39" t="s">
        <v>33</v>
      </c>
      <c r="D24" s="40"/>
      <c r="E24" s="13">
        <f t="shared" ref="E24:S24" si="14">SUM(E13,E19,E23)</f>
        <v>0</v>
      </c>
      <c r="F24" s="13">
        <f t="shared" si="14"/>
        <v>0</v>
      </c>
      <c r="G24" s="14">
        <f t="shared" si="14"/>
        <v>0</v>
      </c>
      <c r="H24" s="13">
        <f t="shared" si="14"/>
        <v>0</v>
      </c>
      <c r="I24" s="13">
        <f t="shared" si="14"/>
        <v>0</v>
      </c>
      <c r="J24" s="14">
        <f t="shared" si="14"/>
        <v>0</v>
      </c>
      <c r="K24" s="13">
        <f t="shared" si="14"/>
        <v>0</v>
      </c>
      <c r="L24" s="13">
        <f t="shared" si="14"/>
        <v>0</v>
      </c>
      <c r="M24" s="14">
        <f t="shared" si="14"/>
        <v>0</v>
      </c>
      <c r="N24" s="13">
        <f t="shared" si="14"/>
        <v>0</v>
      </c>
      <c r="O24" s="13">
        <f t="shared" si="14"/>
        <v>0</v>
      </c>
      <c r="P24" s="14">
        <f t="shared" si="14"/>
        <v>0</v>
      </c>
      <c r="Q24" s="13">
        <f t="shared" si="14"/>
        <v>0</v>
      </c>
      <c r="R24" s="13">
        <f t="shared" si="14"/>
        <v>0</v>
      </c>
      <c r="S24" s="14">
        <f t="shared" si="14"/>
        <v>0</v>
      </c>
      <c r="T24" s="7">
        <f t="shared" si="12"/>
        <v>0</v>
      </c>
      <c r="U24" s="7">
        <f t="shared" si="12"/>
        <v>0</v>
      </c>
      <c r="V24" s="7">
        <f t="shared" si="12"/>
        <v>0</v>
      </c>
    </row>
    <row r="25" spans="1:22" ht="18" customHeight="1" x14ac:dyDescent="0.25">
      <c r="A25" s="42"/>
      <c r="B25" s="41" t="s">
        <v>34</v>
      </c>
      <c r="C25" s="41" t="s">
        <v>35</v>
      </c>
      <c r="D25" s="5" t="s">
        <v>36</v>
      </c>
      <c r="E25" s="6">
        <v>1</v>
      </c>
      <c r="F25" s="6">
        <v>1</v>
      </c>
      <c r="G25" s="7">
        <f>SUM(E25:F25)</f>
        <v>2</v>
      </c>
      <c r="H25" s="6"/>
      <c r="I25" s="6"/>
      <c r="J25" s="7">
        <f>SUM(H25:I25)</f>
        <v>0</v>
      </c>
      <c r="K25" s="6"/>
      <c r="L25" s="6"/>
      <c r="M25" s="7">
        <f>SUM(K25:L25)</f>
        <v>0</v>
      </c>
      <c r="N25" s="6"/>
      <c r="O25" s="6"/>
      <c r="P25" s="7">
        <f>SUM(N25:O25)</f>
        <v>0</v>
      </c>
      <c r="Q25" s="6"/>
      <c r="R25" s="6"/>
      <c r="S25" s="7">
        <f>SUM(Q25:R25)</f>
        <v>0</v>
      </c>
      <c r="T25" s="7">
        <f t="shared" si="12"/>
        <v>1</v>
      </c>
      <c r="U25" s="7">
        <f t="shared" si="12"/>
        <v>1</v>
      </c>
      <c r="V25" s="7">
        <f t="shared" si="12"/>
        <v>2</v>
      </c>
    </row>
    <row r="26" spans="1:22" ht="18" customHeight="1" x14ac:dyDescent="0.25">
      <c r="A26" s="42"/>
      <c r="B26" s="42"/>
      <c r="C26" s="42"/>
      <c r="D26" s="5" t="s">
        <v>227</v>
      </c>
      <c r="E26" s="6">
        <v>4</v>
      </c>
      <c r="F26" s="6">
        <v>0</v>
      </c>
      <c r="G26" s="7">
        <v>4</v>
      </c>
      <c r="H26" s="6"/>
      <c r="I26" s="6"/>
      <c r="J26" s="7"/>
      <c r="K26" s="6"/>
      <c r="L26" s="6"/>
      <c r="M26" s="7"/>
      <c r="N26" s="6"/>
      <c r="O26" s="6"/>
      <c r="P26" s="7"/>
      <c r="Q26" s="6"/>
      <c r="R26" s="6"/>
      <c r="S26" s="7"/>
      <c r="T26" s="7"/>
      <c r="U26" s="7"/>
      <c r="V26" s="7"/>
    </row>
    <row r="27" spans="1:22" ht="18" customHeight="1" x14ac:dyDescent="0.25">
      <c r="A27" s="42"/>
      <c r="B27" s="42"/>
      <c r="C27" s="42"/>
      <c r="D27" s="5" t="s">
        <v>37</v>
      </c>
      <c r="E27" s="6">
        <v>0</v>
      </c>
      <c r="F27" s="6">
        <v>0</v>
      </c>
      <c r="G27" s="7">
        <f>SUM(E27:F27)</f>
        <v>0</v>
      </c>
      <c r="H27" s="6"/>
      <c r="I27" s="6"/>
      <c r="J27" s="7">
        <f>SUM(H27:I27)</f>
        <v>0</v>
      </c>
      <c r="K27" s="6"/>
      <c r="L27" s="6"/>
      <c r="M27" s="7">
        <f>SUM(K27:L27)</f>
        <v>0</v>
      </c>
      <c r="N27" s="6"/>
      <c r="O27" s="6"/>
      <c r="P27" s="7">
        <f>SUM(N27:O27)</f>
        <v>0</v>
      </c>
      <c r="Q27" s="6"/>
      <c r="R27" s="6"/>
      <c r="S27" s="7">
        <f>SUM(Q27:R27)</f>
        <v>0</v>
      </c>
      <c r="T27" s="7">
        <f t="shared" si="12"/>
        <v>0</v>
      </c>
      <c r="U27" s="7">
        <f t="shared" si="12"/>
        <v>0</v>
      </c>
      <c r="V27" s="7">
        <f t="shared" si="12"/>
        <v>0</v>
      </c>
    </row>
    <row r="28" spans="1:22" ht="18" customHeight="1" x14ac:dyDescent="0.25">
      <c r="A28" s="42"/>
      <c r="B28" s="42"/>
      <c r="C28" s="42"/>
      <c r="D28" s="5" t="s">
        <v>38</v>
      </c>
      <c r="E28" s="6">
        <v>2</v>
      </c>
      <c r="F28" s="6">
        <v>1</v>
      </c>
      <c r="G28" s="7">
        <f>SUM(E28:F28)</f>
        <v>3</v>
      </c>
      <c r="H28" s="6"/>
      <c r="I28" s="6"/>
      <c r="J28" s="7">
        <f>SUM(H28:I28)</f>
        <v>0</v>
      </c>
      <c r="K28" s="6"/>
      <c r="L28" s="6"/>
      <c r="M28" s="7">
        <f>SUM(K28:L28)</f>
        <v>0</v>
      </c>
      <c r="N28" s="6"/>
      <c r="O28" s="6"/>
      <c r="P28" s="7">
        <f>SUM(N28:O28)</f>
        <v>0</v>
      </c>
      <c r="Q28" s="6"/>
      <c r="R28" s="6"/>
      <c r="S28" s="7">
        <f>SUM(Q28:R28)</f>
        <v>0</v>
      </c>
      <c r="T28" s="7">
        <f t="shared" si="12"/>
        <v>2</v>
      </c>
      <c r="U28" s="7">
        <f t="shared" si="12"/>
        <v>1</v>
      </c>
      <c r="V28" s="7">
        <f t="shared" si="12"/>
        <v>3</v>
      </c>
    </row>
    <row r="29" spans="1:22" ht="18" customHeight="1" x14ac:dyDescent="0.25">
      <c r="A29" s="42"/>
      <c r="B29" s="42"/>
      <c r="C29" s="42"/>
      <c r="D29" s="5" t="s">
        <v>39</v>
      </c>
      <c r="E29" s="6">
        <v>1</v>
      </c>
      <c r="F29" s="6">
        <v>5</v>
      </c>
      <c r="G29" s="7">
        <f>SUM(E29:F29)</f>
        <v>6</v>
      </c>
      <c r="H29" s="6"/>
      <c r="I29" s="6"/>
      <c r="J29" s="7">
        <f>SUM(H29:I29)</f>
        <v>0</v>
      </c>
      <c r="K29" s="6"/>
      <c r="L29" s="6"/>
      <c r="M29" s="7">
        <f>SUM(K29:L29)</f>
        <v>0</v>
      </c>
      <c r="N29" s="6"/>
      <c r="O29" s="6"/>
      <c r="P29" s="7">
        <f>SUM(N29:O29)</f>
        <v>0</v>
      </c>
      <c r="Q29" s="6"/>
      <c r="R29" s="6"/>
      <c r="S29" s="7">
        <f>SUM(Q29:R29)</f>
        <v>0</v>
      </c>
      <c r="T29" s="7">
        <f t="shared" si="12"/>
        <v>1</v>
      </c>
      <c r="U29" s="7">
        <f t="shared" si="12"/>
        <v>5</v>
      </c>
      <c r="V29" s="7">
        <f t="shared" si="12"/>
        <v>6</v>
      </c>
    </row>
    <row r="30" spans="1:22" ht="18" customHeight="1" x14ac:dyDescent="0.25">
      <c r="A30" s="42"/>
      <c r="B30" s="42"/>
      <c r="C30" s="43"/>
      <c r="D30" s="9" t="s">
        <v>23</v>
      </c>
      <c r="E30" s="10">
        <f t="shared" ref="E30:S30" si="15">SUM(E25:E29)</f>
        <v>8</v>
      </c>
      <c r="F30" s="10">
        <f t="shared" si="15"/>
        <v>7</v>
      </c>
      <c r="G30" s="11">
        <f t="shared" si="15"/>
        <v>15</v>
      </c>
      <c r="H30" s="10">
        <f t="shared" si="15"/>
        <v>0</v>
      </c>
      <c r="I30" s="10">
        <f t="shared" si="15"/>
        <v>0</v>
      </c>
      <c r="J30" s="11">
        <f t="shared" si="15"/>
        <v>0</v>
      </c>
      <c r="K30" s="10">
        <f t="shared" si="15"/>
        <v>0</v>
      </c>
      <c r="L30" s="10">
        <f t="shared" si="15"/>
        <v>0</v>
      </c>
      <c r="M30" s="11">
        <f t="shared" si="15"/>
        <v>0</v>
      </c>
      <c r="N30" s="10">
        <f t="shared" si="15"/>
        <v>0</v>
      </c>
      <c r="O30" s="10">
        <f t="shared" si="15"/>
        <v>0</v>
      </c>
      <c r="P30" s="11">
        <f t="shared" si="15"/>
        <v>0</v>
      </c>
      <c r="Q30" s="10">
        <f t="shared" si="15"/>
        <v>0</v>
      </c>
      <c r="R30" s="10">
        <f t="shared" si="15"/>
        <v>0</v>
      </c>
      <c r="S30" s="11">
        <f t="shared" si="15"/>
        <v>0</v>
      </c>
      <c r="T30" s="12">
        <f t="shared" si="12"/>
        <v>8</v>
      </c>
      <c r="U30" s="12">
        <f t="shared" si="12"/>
        <v>7</v>
      </c>
      <c r="V30" s="12">
        <f t="shared" si="12"/>
        <v>15</v>
      </c>
    </row>
    <row r="31" spans="1:22" ht="18" customHeight="1" x14ac:dyDescent="0.25">
      <c r="A31" s="42"/>
      <c r="B31" s="42"/>
      <c r="C31" s="41" t="s">
        <v>40</v>
      </c>
      <c r="D31" s="5" t="s">
        <v>41</v>
      </c>
      <c r="E31" s="6">
        <v>5</v>
      </c>
      <c r="F31" s="6">
        <v>2</v>
      </c>
      <c r="G31" s="7">
        <f>SUM(E31:F31)</f>
        <v>7</v>
      </c>
      <c r="H31" s="6"/>
      <c r="I31" s="6"/>
      <c r="J31" s="7">
        <f>SUM(H31:I31)</f>
        <v>0</v>
      </c>
      <c r="K31" s="6"/>
      <c r="L31" s="6"/>
      <c r="M31" s="7">
        <f>SUM(K31:L31)</f>
        <v>0</v>
      </c>
      <c r="N31" s="6"/>
      <c r="O31" s="6"/>
      <c r="P31" s="7">
        <f>SUM(N31:O31)</f>
        <v>0</v>
      </c>
      <c r="Q31" s="6"/>
      <c r="R31" s="6"/>
      <c r="S31" s="7">
        <f>SUM(Q31:R31)</f>
        <v>0</v>
      </c>
      <c r="T31" s="7">
        <f t="shared" si="12"/>
        <v>5</v>
      </c>
      <c r="U31" s="7">
        <f t="shared" si="12"/>
        <v>2</v>
      </c>
      <c r="V31" s="7">
        <f t="shared" si="12"/>
        <v>7</v>
      </c>
    </row>
    <row r="32" spans="1:22" ht="18" customHeight="1" x14ac:dyDescent="0.25">
      <c r="A32" s="42"/>
      <c r="B32" s="42"/>
      <c r="C32" s="42"/>
      <c r="D32" s="5" t="s">
        <v>42</v>
      </c>
      <c r="E32" s="6">
        <v>1</v>
      </c>
      <c r="F32" s="6">
        <v>0</v>
      </c>
      <c r="G32" s="7">
        <f>SUM(E32:F32)</f>
        <v>1</v>
      </c>
      <c r="H32" s="6"/>
      <c r="I32" s="6"/>
      <c r="J32" s="7">
        <f>SUM(H32:I32)</f>
        <v>0</v>
      </c>
      <c r="K32" s="6"/>
      <c r="L32" s="6"/>
      <c r="M32" s="7">
        <f>SUM(K32:L32)</f>
        <v>0</v>
      </c>
      <c r="N32" s="6"/>
      <c r="O32" s="6"/>
      <c r="P32" s="7">
        <f>SUM(N32:O32)</f>
        <v>0</v>
      </c>
      <c r="Q32" s="6"/>
      <c r="R32" s="6"/>
      <c r="S32" s="7">
        <f>SUM(Q32:R32)</f>
        <v>0</v>
      </c>
      <c r="T32" s="7">
        <f t="shared" si="12"/>
        <v>1</v>
      </c>
      <c r="U32" s="7">
        <f t="shared" si="12"/>
        <v>0</v>
      </c>
      <c r="V32" s="7">
        <f t="shared" si="12"/>
        <v>1</v>
      </c>
    </row>
    <row r="33" spans="1:22" ht="18" customHeight="1" x14ac:dyDescent="0.25">
      <c r="A33" s="42"/>
      <c r="B33" s="42"/>
      <c r="C33" s="42"/>
      <c r="D33" s="5" t="s">
        <v>43</v>
      </c>
      <c r="E33" s="7">
        <v>4</v>
      </c>
      <c r="F33" s="7">
        <v>4</v>
      </c>
      <c r="G33" s="7">
        <f>SUM(E33:F33)</f>
        <v>8</v>
      </c>
      <c r="H33" s="6"/>
      <c r="I33" s="6"/>
      <c r="J33" s="7">
        <f>SUM(H33:I33)</f>
        <v>0</v>
      </c>
      <c r="K33" s="6"/>
      <c r="L33" s="6"/>
      <c r="M33" s="7">
        <f>SUM(K33:L33)</f>
        <v>0</v>
      </c>
      <c r="N33" s="6"/>
      <c r="O33" s="6"/>
      <c r="P33" s="7">
        <f>SUM(N33:O33)</f>
        <v>0</v>
      </c>
      <c r="Q33" s="6"/>
      <c r="R33" s="6"/>
      <c r="S33" s="7">
        <f>SUM(Q33:R33)</f>
        <v>0</v>
      </c>
      <c r="T33" s="7">
        <f t="shared" si="12"/>
        <v>4</v>
      </c>
      <c r="U33" s="7">
        <f t="shared" si="12"/>
        <v>4</v>
      </c>
      <c r="V33" s="7">
        <f t="shared" si="12"/>
        <v>8</v>
      </c>
    </row>
    <row r="34" spans="1:22" ht="18" customHeight="1" x14ac:dyDescent="0.25">
      <c r="A34" s="42"/>
      <c r="B34" s="42"/>
      <c r="C34" s="43"/>
      <c r="D34" s="9" t="s">
        <v>23</v>
      </c>
      <c r="E34" s="10">
        <f t="shared" ref="E34:S34" si="16">SUM(E31:E33)</f>
        <v>10</v>
      </c>
      <c r="F34" s="10">
        <f t="shared" si="16"/>
        <v>6</v>
      </c>
      <c r="G34" s="11">
        <f t="shared" si="16"/>
        <v>16</v>
      </c>
      <c r="H34" s="10">
        <f t="shared" si="16"/>
        <v>0</v>
      </c>
      <c r="I34" s="10">
        <f t="shared" si="16"/>
        <v>0</v>
      </c>
      <c r="J34" s="11">
        <f t="shared" si="16"/>
        <v>0</v>
      </c>
      <c r="K34" s="10">
        <f t="shared" si="16"/>
        <v>0</v>
      </c>
      <c r="L34" s="10">
        <f t="shared" si="16"/>
        <v>0</v>
      </c>
      <c r="M34" s="11">
        <f t="shared" si="16"/>
        <v>0</v>
      </c>
      <c r="N34" s="10">
        <f t="shared" si="16"/>
        <v>0</v>
      </c>
      <c r="O34" s="10">
        <f t="shared" si="16"/>
        <v>0</v>
      </c>
      <c r="P34" s="11">
        <f t="shared" si="16"/>
        <v>0</v>
      </c>
      <c r="Q34" s="10">
        <f t="shared" si="16"/>
        <v>0</v>
      </c>
      <c r="R34" s="10">
        <f t="shared" si="16"/>
        <v>0</v>
      </c>
      <c r="S34" s="11">
        <f t="shared" si="16"/>
        <v>0</v>
      </c>
      <c r="T34" s="12">
        <f t="shared" si="12"/>
        <v>10</v>
      </c>
      <c r="U34" s="12">
        <f t="shared" si="12"/>
        <v>6</v>
      </c>
      <c r="V34" s="12">
        <f t="shared" si="12"/>
        <v>16</v>
      </c>
    </row>
    <row r="35" spans="1:22" ht="18" customHeight="1" x14ac:dyDescent="0.25">
      <c r="A35" s="42"/>
      <c r="B35" s="42"/>
      <c r="C35" s="41" t="s">
        <v>44</v>
      </c>
      <c r="D35" s="5" t="s">
        <v>45</v>
      </c>
      <c r="E35" s="6">
        <v>3</v>
      </c>
      <c r="F35" s="6">
        <v>6</v>
      </c>
      <c r="G35" s="7">
        <f>SUM(E35:F35)</f>
        <v>9</v>
      </c>
      <c r="H35" s="6"/>
      <c r="I35" s="6"/>
      <c r="J35" s="7">
        <f>SUM(H35:I35)</f>
        <v>0</v>
      </c>
      <c r="K35" s="6"/>
      <c r="L35" s="6"/>
      <c r="M35" s="7">
        <f>SUM(K35:L35)</f>
        <v>0</v>
      </c>
      <c r="N35" s="6"/>
      <c r="O35" s="6"/>
      <c r="P35" s="7">
        <f>SUM(N35:O35)</f>
        <v>0</v>
      </c>
      <c r="Q35" s="6"/>
      <c r="R35" s="6"/>
      <c r="S35" s="7">
        <f>SUM(Q35:R35)</f>
        <v>0</v>
      </c>
      <c r="T35" s="7">
        <f t="shared" si="12"/>
        <v>3</v>
      </c>
      <c r="U35" s="7">
        <f t="shared" si="12"/>
        <v>6</v>
      </c>
      <c r="V35" s="7">
        <f t="shared" si="12"/>
        <v>9</v>
      </c>
    </row>
    <row r="36" spans="1:22" ht="18" customHeight="1" x14ac:dyDescent="0.25">
      <c r="A36" s="42"/>
      <c r="B36" s="42"/>
      <c r="C36" s="42"/>
      <c r="D36" s="5" t="s">
        <v>46</v>
      </c>
      <c r="E36" s="6">
        <v>4</v>
      </c>
      <c r="F36" s="6">
        <v>1</v>
      </c>
      <c r="G36" s="7">
        <f>SUM(E36:F36)</f>
        <v>5</v>
      </c>
      <c r="H36" s="6"/>
      <c r="I36" s="6"/>
      <c r="J36" s="7">
        <f>SUM(H36:I36)</f>
        <v>0</v>
      </c>
      <c r="K36" s="6"/>
      <c r="L36" s="6"/>
      <c r="M36" s="7">
        <f>SUM(K36:L36)</f>
        <v>0</v>
      </c>
      <c r="N36" s="6"/>
      <c r="O36" s="6"/>
      <c r="P36" s="7">
        <f>SUM(N36:O36)</f>
        <v>0</v>
      </c>
      <c r="Q36" s="6"/>
      <c r="R36" s="6"/>
      <c r="S36" s="7">
        <f>SUM(Q36:R36)</f>
        <v>0</v>
      </c>
      <c r="T36" s="7">
        <f t="shared" si="12"/>
        <v>4</v>
      </c>
      <c r="U36" s="7">
        <f t="shared" si="12"/>
        <v>1</v>
      </c>
      <c r="V36" s="7">
        <f t="shared" si="12"/>
        <v>5</v>
      </c>
    </row>
    <row r="37" spans="1:22" ht="18" customHeight="1" x14ac:dyDescent="0.25">
      <c r="A37" s="42"/>
      <c r="B37" s="42"/>
      <c r="C37" s="42"/>
      <c r="D37" s="5" t="s">
        <v>47</v>
      </c>
      <c r="E37" s="6">
        <v>3</v>
      </c>
      <c r="F37" s="6">
        <v>2</v>
      </c>
      <c r="G37" s="7">
        <f>SUM(E37:F37)</f>
        <v>5</v>
      </c>
      <c r="H37" s="6"/>
      <c r="I37" s="6"/>
      <c r="J37" s="7">
        <f>SUM(H37:I37)</f>
        <v>0</v>
      </c>
      <c r="K37" s="6"/>
      <c r="L37" s="6"/>
      <c r="M37" s="7">
        <f>SUM(K37:L37)</f>
        <v>0</v>
      </c>
      <c r="N37" s="6"/>
      <c r="O37" s="6"/>
      <c r="P37" s="7">
        <f>SUM(N37:O37)</f>
        <v>0</v>
      </c>
      <c r="Q37" s="6"/>
      <c r="R37" s="6"/>
      <c r="S37" s="7">
        <f>SUM(Q37:R37)</f>
        <v>0</v>
      </c>
      <c r="T37" s="7">
        <f t="shared" si="12"/>
        <v>3</v>
      </c>
      <c r="U37" s="7">
        <f t="shared" si="12"/>
        <v>2</v>
      </c>
      <c r="V37" s="7">
        <f t="shared" si="12"/>
        <v>5</v>
      </c>
    </row>
    <row r="38" spans="1:22" ht="18" customHeight="1" x14ac:dyDescent="0.25">
      <c r="A38" s="42"/>
      <c r="B38" s="42"/>
      <c r="C38" s="42"/>
      <c r="D38" s="5" t="s">
        <v>48</v>
      </c>
      <c r="E38" s="6">
        <v>11</v>
      </c>
      <c r="F38" s="6">
        <v>9</v>
      </c>
      <c r="G38" s="7">
        <f>SUM(E38:F38)</f>
        <v>20</v>
      </c>
      <c r="H38" s="6"/>
      <c r="I38" s="6"/>
      <c r="J38" s="7">
        <f>SUM(H38:I38)</f>
        <v>0</v>
      </c>
      <c r="K38" s="6"/>
      <c r="L38" s="6"/>
      <c r="M38" s="7">
        <f>SUM(K38:L38)</f>
        <v>0</v>
      </c>
      <c r="N38" s="6"/>
      <c r="O38" s="6"/>
      <c r="P38" s="7">
        <f>SUM(N38:O38)</f>
        <v>0</v>
      </c>
      <c r="Q38" s="6"/>
      <c r="R38" s="6"/>
      <c r="S38" s="7">
        <f>SUM(Q38:R38)</f>
        <v>0</v>
      </c>
      <c r="T38" s="7">
        <f t="shared" si="12"/>
        <v>11</v>
      </c>
      <c r="U38" s="7">
        <f t="shared" si="12"/>
        <v>9</v>
      </c>
      <c r="V38" s="7">
        <f t="shared" si="12"/>
        <v>20</v>
      </c>
    </row>
    <row r="39" spans="1:22" ht="18" customHeight="1" x14ac:dyDescent="0.25">
      <c r="A39" s="42"/>
      <c r="B39" s="42"/>
      <c r="C39" s="42"/>
      <c r="D39" s="5" t="s">
        <v>230</v>
      </c>
      <c r="E39" s="6">
        <v>0</v>
      </c>
      <c r="F39" s="6">
        <v>2</v>
      </c>
      <c r="G39" s="7">
        <f>SUM(E39:F39)</f>
        <v>2</v>
      </c>
      <c r="H39" s="6"/>
      <c r="I39" s="6"/>
      <c r="J39" s="7"/>
      <c r="K39" s="6"/>
      <c r="L39" s="6"/>
      <c r="M39" s="7"/>
      <c r="N39" s="6"/>
      <c r="O39" s="6"/>
      <c r="P39" s="7"/>
      <c r="Q39" s="6"/>
      <c r="R39" s="6"/>
      <c r="S39" s="7"/>
      <c r="T39" s="7">
        <f t="shared" si="12"/>
        <v>0</v>
      </c>
      <c r="U39" s="7">
        <f t="shared" si="12"/>
        <v>2</v>
      </c>
      <c r="V39" s="7">
        <v>2</v>
      </c>
    </row>
    <row r="40" spans="1:22" ht="18" customHeight="1" x14ac:dyDescent="0.25">
      <c r="A40" s="42"/>
      <c r="B40" s="42"/>
      <c r="C40" s="43"/>
      <c r="D40" s="9" t="s">
        <v>23</v>
      </c>
      <c r="E40" s="10">
        <f>SUM(E35:E39)</f>
        <v>21</v>
      </c>
      <c r="F40" s="10">
        <f>SUM(F35:F39)</f>
        <v>20</v>
      </c>
      <c r="G40" s="11">
        <f t="shared" ref="G40:S40" si="17">SUM(G35:G38)</f>
        <v>39</v>
      </c>
      <c r="H40" s="10">
        <f t="shared" si="17"/>
        <v>0</v>
      </c>
      <c r="I40" s="10">
        <f t="shared" si="17"/>
        <v>0</v>
      </c>
      <c r="J40" s="11">
        <f t="shared" si="17"/>
        <v>0</v>
      </c>
      <c r="K40" s="10">
        <f t="shared" si="17"/>
        <v>0</v>
      </c>
      <c r="L40" s="10">
        <f t="shared" si="17"/>
        <v>0</v>
      </c>
      <c r="M40" s="11">
        <f t="shared" si="17"/>
        <v>0</v>
      </c>
      <c r="N40" s="10">
        <f t="shared" si="17"/>
        <v>0</v>
      </c>
      <c r="O40" s="10">
        <f t="shared" si="17"/>
        <v>0</v>
      </c>
      <c r="P40" s="11">
        <f t="shared" si="17"/>
        <v>0</v>
      </c>
      <c r="Q40" s="10">
        <f t="shared" si="17"/>
        <v>0</v>
      </c>
      <c r="R40" s="10">
        <f t="shared" si="17"/>
        <v>0</v>
      </c>
      <c r="S40" s="11">
        <f t="shared" si="17"/>
        <v>0</v>
      </c>
      <c r="T40" s="12">
        <f t="shared" si="12"/>
        <v>21</v>
      </c>
      <c r="U40" s="12">
        <f t="shared" si="12"/>
        <v>20</v>
      </c>
      <c r="V40" s="12">
        <f t="shared" si="12"/>
        <v>39</v>
      </c>
    </row>
    <row r="41" spans="1:22" ht="18" customHeight="1" x14ac:dyDescent="0.25">
      <c r="A41" s="42"/>
      <c r="B41" s="42"/>
      <c r="C41" s="41" t="s">
        <v>49</v>
      </c>
      <c r="D41" s="5" t="s">
        <v>50</v>
      </c>
      <c r="E41" s="6">
        <v>0</v>
      </c>
      <c r="F41" s="6">
        <v>0</v>
      </c>
      <c r="G41" s="7">
        <f>SUM(E41:F41)</f>
        <v>0</v>
      </c>
      <c r="H41" s="6"/>
      <c r="I41" s="6"/>
      <c r="J41" s="7">
        <f>SUM(H41:I41)</f>
        <v>0</v>
      </c>
      <c r="K41" s="6"/>
      <c r="L41" s="6"/>
      <c r="M41" s="7">
        <f>SUM(K41:L41)</f>
        <v>0</v>
      </c>
      <c r="N41" s="6"/>
      <c r="O41" s="6"/>
      <c r="P41" s="7">
        <f>SUM(N41:O41)</f>
        <v>0</v>
      </c>
      <c r="Q41" s="6"/>
      <c r="R41" s="6"/>
      <c r="S41" s="7">
        <f>SUM(Q41:R41)</f>
        <v>0</v>
      </c>
      <c r="T41" s="7">
        <f t="shared" si="12"/>
        <v>0</v>
      </c>
      <c r="U41" s="7">
        <f t="shared" si="12"/>
        <v>0</v>
      </c>
      <c r="V41" s="7">
        <f t="shared" si="12"/>
        <v>0</v>
      </c>
    </row>
    <row r="42" spans="1:22" ht="18" customHeight="1" x14ac:dyDescent="0.25">
      <c r="A42" s="42"/>
      <c r="B42" s="42"/>
      <c r="C42" s="42"/>
      <c r="D42" s="5" t="s">
        <v>51</v>
      </c>
      <c r="E42" s="6">
        <v>4</v>
      </c>
      <c r="F42" s="6">
        <v>3</v>
      </c>
      <c r="G42" s="7">
        <f>SUM(E42:F42)</f>
        <v>7</v>
      </c>
      <c r="H42" s="6"/>
      <c r="I42" s="6"/>
      <c r="J42" s="7">
        <f>SUM(H42:I42)</f>
        <v>0</v>
      </c>
      <c r="K42" s="6"/>
      <c r="L42" s="6"/>
      <c r="M42" s="7">
        <f>SUM(K42:L42)</f>
        <v>0</v>
      </c>
      <c r="N42" s="6"/>
      <c r="O42" s="6"/>
      <c r="P42" s="7">
        <f>SUM(N42:O42)</f>
        <v>0</v>
      </c>
      <c r="Q42" s="6"/>
      <c r="R42" s="6"/>
      <c r="S42" s="7">
        <f>SUM(Q42:R42)</f>
        <v>0</v>
      </c>
      <c r="T42" s="7">
        <f t="shared" si="12"/>
        <v>4</v>
      </c>
      <c r="U42" s="7">
        <f t="shared" si="12"/>
        <v>3</v>
      </c>
      <c r="V42" s="7">
        <f t="shared" si="12"/>
        <v>7</v>
      </c>
    </row>
    <row r="43" spans="1:22" ht="18" customHeight="1" x14ac:dyDescent="0.25">
      <c r="A43" s="42"/>
      <c r="B43" s="42"/>
      <c r="C43" s="42"/>
      <c r="D43" s="5" t="s">
        <v>52</v>
      </c>
      <c r="E43" s="6">
        <v>0</v>
      </c>
      <c r="F43" s="6">
        <v>1</v>
      </c>
      <c r="G43" s="7">
        <f>SUM(E43:F43)</f>
        <v>1</v>
      </c>
      <c r="H43" s="6"/>
      <c r="I43" s="6"/>
      <c r="J43" s="7">
        <f>SUM(H43:I43)</f>
        <v>0</v>
      </c>
      <c r="K43" s="6"/>
      <c r="L43" s="6"/>
      <c r="M43" s="7">
        <f>SUM(K43:L43)</f>
        <v>0</v>
      </c>
      <c r="N43" s="6"/>
      <c r="O43" s="6"/>
      <c r="P43" s="7">
        <f>SUM(N43:O43)</f>
        <v>0</v>
      </c>
      <c r="Q43" s="6"/>
      <c r="R43" s="6"/>
      <c r="S43" s="7">
        <f>SUM(Q43:R43)</f>
        <v>0</v>
      </c>
      <c r="T43" s="7">
        <f t="shared" si="12"/>
        <v>0</v>
      </c>
      <c r="U43" s="7">
        <f t="shared" si="12"/>
        <v>1</v>
      </c>
      <c r="V43" s="7">
        <f t="shared" si="12"/>
        <v>1</v>
      </c>
    </row>
    <row r="44" spans="1:22" ht="18" customHeight="1" x14ac:dyDescent="0.25">
      <c r="A44" s="42"/>
      <c r="B44" s="42"/>
      <c r="C44" s="43"/>
      <c r="D44" s="9" t="s">
        <v>23</v>
      </c>
      <c r="E44" s="10">
        <f t="shared" ref="E44:S44" si="18">SUM(E41:E43)</f>
        <v>4</v>
      </c>
      <c r="F44" s="10">
        <f t="shared" si="18"/>
        <v>4</v>
      </c>
      <c r="G44" s="11">
        <f t="shared" si="18"/>
        <v>8</v>
      </c>
      <c r="H44" s="10">
        <f t="shared" si="18"/>
        <v>0</v>
      </c>
      <c r="I44" s="10">
        <f t="shared" si="18"/>
        <v>0</v>
      </c>
      <c r="J44" s="11">
        <f t="shared" si="18"/>
        <v>0</v>
      </c>
      <c r="K44" s="10">
        <f t="shared" si="18"/>
        <v>0</v>
      </c>
      <c r="L44" s="10">
        <f t="shared" si="18"/>
        <v>0</v>
      </c>
      <c r="M44" s="11">
        <f t="shared" si="18"/>
        <v>0</v>
      </c>
      <c r="N44" s="10">
        <f t="shared" si="18"/>
        <v>0</v>
      </c>
      <c r="O44" s="10">
        <f t="shared" si="18"/>
        <v>0</v>
      </c>
      <c r="P44" s="11">
        <f t="shared" si="18"/>
        <v>0</v>
      </c>
      <c r="Q44" s="10">
        <f t="shared" si="18"/>
        <v>0</v>
      </c>
      <c r="R44" s="10">
        <f t="shared" si="18"/>
        <v>0</v>
      </c>
      <c r="S44" s="11">
        <f t="shared" si="18"/>
        <v>0</v>
      </c>
      <c r="T44" s="12">
        <f t="shared" si="12"/>
        <v>4</v>
      </c>
      <c r="U44" s="12">
        <f t="shared" si="12"/>
        <v>4</v>
      </c>
      <c r="V44" s="12">
        <f t="shared" si="12"/>
        <v>8</v>
      </c>
    </row>
    <row r="45" spans="1:22" ht="18" customHeight="1" x14ac:dyDescent="0.25">
      <c r="A45" s="42"/>
      <c r="B45" s="42"/>
      <c r="C45" s="41" t="s">
        <v>53</v>
      </c>
      <c r="D45" s="5" t="s">
        <v>54</v>
      </c>
      <c r="E45" s="6">
        <v>0</v>
      </c>
      <c r="F45" s="6">
        <v>0</v>
      </c>
      <c r="G45" s="7">
        <f>SUM(E45:F45)</f>
        <v>0</v>
      </c>
      <c r="H45" s="6"/>
      <c r="I45" s="6"/>
      <c r="J45" s="7">
        <f>SUM(H45:I45)</f>
        <v>0</v>
      </c>
      <c r="K45" s="6"/>
      <c r="L45" s="6"/>
      <c r="M45" s="7">
        <f>SUM(K45:L45)</f>
        <v>0</v>
      </c>
      <c r="N45" s="6"/>
      <c r="O45" s="6"/>
      <c r="P45" s="7">
        <f>SUM(N45:O45)</f>
        <v>0</v>
      </c>
      <c r="Q45" s="6"/>
      <c r="R45" s="6"/>
      <c r="S45" s="7">
        <f>SUM(Q45:R45)</f>
        <v>0</v>
      </c>
      <c r="T45" s="7">
        <f t="shared" si="12"/>
        <v>0</v>
      </c>
      <c r="U45" s="7">
        <f t="shared" si="12"/>
        <v>0</v>
      </c>
      <c r="V45" s="7">
        <f t="shared" si="12"/>
        <v>0</v>
      </c>
    </row>
    <row r="46" spans="1:22" ht="18" customHeight="1" x14ac:dyDescent="0.25">
      <c r="A46" s="42"/>
      <c r="B46" s="42"/>
      <c r="C46" s="42"/>
      <c r="D46" s="5" t="s">
        <v>55</v>
      </c>
      <c r="E46" s="6">
        <v>3</v>
      </c>
      <c r="F46" s="6">
        <v>1</v>
      </c>
      <c r="G46" s="7">
        <f>SUM(E46:F46)</f>
        <v>4</v>
      </c>
      <c r="H46" s="6"/>
      <c r="I46" s="6"/>
      <c r="J46" s="7">
        <f>SUM(H46:I46)</f>
        <v>0</v>
      </c>
      <c r="K46" s="6"/>
      <c r="L46" s="6"/>
      <c r="M46" s="7">
        <f>SUM(K46:L46)</f>
        <v>0</v>
      </c>
      <c r="N46" s="6"/>
      <c r="O46" s="6"/>
      <c r="P46" s="7">
        <f>SUM(N46:O46)</f>
        <v>0</v>
      </c>
      <c r="Q46" s="6"/>
      <c r="R46" s="6"/>
      <c r="S46" s="7">
        <f>SUM(Q46:R46)</f>
        <v>0</v>
      </c>
      <c r="T46" s="7">
        <f t="shared" si="12"/>
        <v>3</v>
      </c>
      <c r="U46" s="7">
        <f t="shared" si="12"/>
        <v>1</v>
      </c>
      <c r="V46" s="7">
        <f t="shared" si="12"/>
        <v>4</v>
      </c>
    </row>
    <row r="47" spans="1:22" ht="18" customHeight="1" x14ac:dyDescent="0.25">
      <c r="A47" s="42"/>
      <c r="B47" s="42"/>
      <c r="C47" s="42"/>
      <c r="D47" s="5" t="s">
        <v>56</v>
      </c>
      <c r="E47" s="6">
        <v>2</v>
      </c>
      <c r="F47" s="6">
        <v>1</v>
      </c>
      <c r="G47" s="7">
        <f>SUM(E47:F47)</f>
        <v>3</v>
      </c>
      <c r="H47" s="6"/>
      <c r="I47" s="6"/>
      <c r="J47" s="7">
        <f>SUM(H47:I47)</f>
        <v>0</v>
      </c>
      <c r="K47" s="6"/>
      <c r="L47" s="6"/>
      <c r="M47" s="7">
        <f>SUM(K47:L47)</f>
        <v>0</v>
      </c>
      <c r="N47" s="6"/>
      <c r="O47" s="6"/>
      <c r="P47" s="7">
        <f>SUM(N47:O47)</f>
        <v>0</v>
      </c>
      <c r="Q47" s="6"/>
      <c r="R47" s="6"/>
      <c r="S47" s="7">
        <f>SUM(Q47:R47)</f>
        <v>0</v>
      </c>
      <c r="T47" s="7">
        <f t="shared" si="12"/>
        <v>2</v>
      </c>
      <c r="U47" s="7">
        <f t="shared" si="12"/>
        <v>1</v>
      </c>
      <c r="V47" s="7">
        <f t="shared" si="12"/>
        <v>3</v>
      </c>
    </row>
    <row r="48" spans="1:22" ht="18" customHeight="1" x14ac:dyDescent="0.25">
      <c r="A48" s="42"/>
      <c r="B48" s="42"/>
      <c r="C48" s="42"/>
      <c r="D48" s="5" t="s">
        <v>57</v>
      </c>
      <c r="E48" s="6">
        <v>8</v>
      </c>
      <c r="F48" s="6">
        <v>2</v>
      </c>
      <c r="G48" s="7">
        <f>SUM(E48:F48)</f>
        <v>10</v>
      </c>
      <c r="H48" s="6"/>
      <c r="I48" s="6"/>
      <c r="J48" s="7">
        <f>SUM(H48:I48)</f>
        <v>0</v>
      </c>
      <c r="K48" s="6"/>
      <c r="L48" s="6"/>
      <c r="M48" s="7">
        <f>SUM(K48:L48)</f>
        <v>0</v>
      </c>
      <c r="N48" s="6"/>
      <c r="O48" s="6"/>
      <c r="P48" s="7">
        <f>SUM(N48:O48)</f>
        <v>0</v>
      </c>
      <c r="Q48" s="6"/>
      <c r="R48" s="6"/>
      <c r="S48" s="7">
        <f>SUM(Q48:R48)</f>
        <v>0</v>
      </c>
      <c r="T48" s="7">
        <f t="shared" si="12"/>
        <v>8</v>
      </c>
      <c r="U48" s="7">
        <f t="shared" si="12"/>
        <v>2</v>
      </c>
      <c r="V48" s="7">
        <f t="shared" si="12"/>
        <v>10</v>
      </c>
    </row>
    <row r="49" spans="1:22" ht="18" customHeight="1" x14ac:dyDescent="0.25">
      <c r="A49" s="42"/>
      <c r="B49" s="42"/>
      <c r="C49" s="42"/>
      <c r="D49" s="5" t="s">
        <v>58</v>
      </c>
      <c r="E49" s="6">
        <v>11</v>
      </c>
      <c r="F49" s="6">
        <v>5</v>
      </c>
      <c r="G49" s="7">
        <f>SUM(E49:F49)</f>
        <v>16</v>
      </c>
      <c r="H49" s="6"/>
      <c r="I49" s="6"/>
      <c r="J49" s="7">
        <f>SUM(H49:I49)</f>
        <v>0</v>
      </c>
      <c r="K49" s="6"/>
      <c r="L49" s="6"/>
      <c r="M49" s="7">
        <f>SUM(K49:L49)</f>
        <v>0</v>
      </c>
      <c r="N49" s="6"/>
      <c r="O49" s="6"/>
      <c r="P49" s="7">
        <f>SUM(N49:O49)</f>
        <v>0</v>
      </c>
      <c r="Q49" s="6"/>
      <c r="R49" s="6"/>
      <c r="S49" s="7">
        <f>SUM(Q49:R49)</f>
        <v>0</v>
      </c>
      <c r="T49" s="7">
        <f t="shared" si="12"/>
        <v>11</v>
      </c>
      <c r="U49" s="7">
        <f t="shared" si="12"/>
        <v>5</v>
      </c>
      <c r="V49" s="7">
        <f t="shared" si="12"/>
        <v>16</v>
      </c>
    </row>
    <row r="50" spans="1:22" ht="18" customHeight="1" x14ac:dyDescent="0.25">
      <c r="A50" s="42"/>
      <c r="B50" s="42"/>
      <c r="C50" s="42"/>
      <c r="D50" s="9" t="s">
        <v>23</v>
      </c>
      <c r="E50" s="10">
        <f t="shared" ref="E50:S50" si="19">SUM(E45:E49)</f>
        <v>24</v>
      </c>
      <c r="F50" s="10">
        <f t="shared" si="19"/>
        <v>9</v>
      </c>
      <c r="G50" s="11">
        <f t="shared" si="19"/>
        <v>33</v>
      </c>
      <c r="H50" s="10">
        <f t="shared" si="19"/>
        <v>0</v>
      </c>
      <c r="I50" s="10">
        <f t="shared" si="19"/>
        <v>0</v>
      </c>
      <c r="J50" s="11">
        <f t="shared" si="19"/>
        <v>0</v>
      </c>
      <c r="K50" s="10">
        <f t="shared" si="19"/>
        <v>0</v>
      </c>
      <c r="L50" s="10">
        <f t="shared" si="19"/>
        <v>0</v>
      </c>
      <c r="M50" s="11">
        <f t="shared" si="19"/>
        <v>0</v>
      </c>
      <c r="N50" s="10">
        <f t="shared" si="19"/>
        <v>0</v>
      </c>
      <c r="O50" s="10">
        <f t="shared" si="19"/>
        <v>0</v>
      </c>
      <c r="P50" s="11">
        <f t="shared" si="19"/>
        <v>0</v>
      </c>
      <c r="Q50" s="10">
        <f t="shared" si="19"/>
        <v>0</v>
      </c>
      <c r="R50" s="10">
        <f t="shared" si="19"/>
        <v>0</v>
      </c>
      <c r="S50" s="11">
        <f t="shared" si="19"/>
        <v>0</v>
      </c>
      <c r="T50" s="12">
        <f t="shared" si="12"/>
        <v>24</v>
      </c>
      <c r="U50" s="12">
        <f t="shared" si="12"/>
        <v>9</v>
      </c>
      <c r="V50" s="12">
        <f t="shared" si="12"/>
        <v>33</v>
      </c>
    </row>
    <row r="51" spans="1:22" ht="18" customHeight="1" x14ac:dyDescent="0.25">
      <c r="A51" s="42"/>
      <c r="B51" s="43"/>
      <c r="C51" s="39" t="s">
        <v>33</v>
      </c>
      <c r="D51" s="40"/>
      <c r="E51" s="13">
        <f t="shared" ref="E51:S51" si="20">SUM(E30,E34,E40,E44,E50)</f>
        <v>67</v>
      </c>
      <c r="F51" s="13">
        <f t="shared" si="20"/>
        <v>46</v>
      </c>
      <c r="G51" s="13">
        <f t="shared" si="20"/>
        <v>111</v>
      </c>
      <c r="H51" s="13">
        <f t="shared" si="20"/>
        <v>0</v>
      </c>
      <c r="I51" s="13">
        <f t="shared" si="20"/>
        <v>0</v>
      </c>
      <c r="J51" s="13">
        <f t="shared" si="20"/>
        <v>0</v>
      </c>
      <c r="K51" s="13">
        <f t="shared" si="20"/>
        <v>0</v>
      </c>
      <c r="L51" s="13">
        <f t="shared" si="20"/>
        <v>0</v>
      </c>
      <c r="M51" s="13">
        <f t="shared" si="20"/>
        <v>0</v>
      </c>
      <c r="N51" s="13">
        <f t="shared" si="20"/>
        <v>0</v>
      </c>
      <c r="O51" s="13">
        <f t="shared" si="20"/>
        <v>0</v>
      </c>
      <c r="P51" s="13">
        <f t="shared" si="20"/>
        <v>0</v>
      </c>
      <c r="Q51" s="13">
        <f t="shared" si="20"/>
        <v>0</v>
      </c>
      <c r="R51" s="13">
        <f t="shared" si="20"/>
        <v>0</v>
      </c>
      <c r="S51" s="13">
        <f t="shared" si="20"/>
        <v>0</v>
      </c>
      <c r="T51" s="7">
        <f t="shared" si="12"/>
        <v>67</v>
      </c>
      <c r="U51" s="7">
        <f t="shared" si="12"/>
        <v>46</v>
      </c>
      <c r="V51" s="7">
        <f t="shared" si="12"/>
        <v>111</v>
      </c>
    </row>
    <row r="52" spans="1:22" ht="18" customHeight="1" x14ac:dyDescent="0.25">
      <c r="A52" s="42"/>
      <c r="B52" s="42" t="s">
        <v>59</v>
      </c>
      <c r="C52" s="44" t="s">
        <v>60</v>
      </c>
      <c r="D52" s="5" t="s">
        <v>61</v>
      </c>
      <c r="E52" s="7">
        <v>9</v>
      </c>
      <c r="F52" s="7">
        <v>3</v>
      </c>
      <c r="G52" s="7">
        <f t="shared" ref="G52" si="21">SUM(E52:F52)</f>
        <v>12</v>
      </c>
      <c r="H52" s="6"/>
      <c r="I52" s="6"/>
      <c r="J52" s="7">
        <f t="shared" ref="J52:J54" si="22">SUM(H52:I52)</f>
        <v>0</v>
      </c>
      <c r="K52" s="6"/>
      <c r="L52" s="6"/>
      <c r="M52" s="7">
        <f t="shared" ref="M52:M54" si="23">SUM(K52:L52)</f>
        <v>0</v>
      </c>
      <c r="N52" s="6"/>
      <c r="O52" s="6"/>
      <c r="P52" s="7">
        <f t="shared" ref="P52:P54" si="24">SUM(N52:O52)</f>
        <v>0</v>
      </c>
      <c r="Q52" s="6"/>
      <c r="R52" s="6"/>
      <c r="S52" s="7">
        <f t="shared" ref="S52:S54" si="25">SUM(Q52:R52)</f>
        <v>0</v>
      </c>
      <c r="T52" s="7">
        <f t="shared" si="12"/>
        <v>9</v>
      </c>
      <c r="U52" s="7">
        <f t="shared" si="12"/>
        <v>3</v>
      </c>
      <c r="V52" s="7">
        <f t="shared" si="12"/>
        <v>12</v>
      </c>
    </row>
    <row r="53" spans="1:22" ht="18" customHeight="1" x14ac:dyDescent="0.25">
      <c r="A53" s="42"/>
      <c r="B53" s="42"/>
      <c r="C53" s="44"/>
      <c r="D53" s="5" t="s">
        <v>62</v>
      </c>
      <c r="E53" s="6">
        <v>46</v>
      </c>
      <c r="F53" s="6">
        <v>37</v>
      </c>
      <c r="G53" s="7">
        <f t="shared" ref="G53:G70" si="26">SUM(E53:F53)</f>
        <v>83</v>
      </c>
      <c r="H53" s="6"/>
      <c r="I53" s="6"/>
      <c r="J53" s="7">
        <f t="shared" si="22"/>
        <v>0</v>
      </c>
      <c r="K53" s="6"/>
      <c r="L53" s="6"/>
      <c r="M53" s="7">
        <f t="shared" si="23"/>
        <v>0</v>
      </c>
      <c r="N53" s="6"/>
      <c r="O53" s="6"/>
      <c r="P53" s="7">
        <f t="shared" si="24"/>
        <v>0</v>
      </c>
      <c r="Q53" s="6"/>
      <c r="R53" s="6"/>
      <c r="S53" s="7">
        <f t="shared" si="25"/>
        <v>0</v>
      </c>
      <c r="T53" s="7">
        <f t="shared" si="12"/>
        <v>46</v>
      </c>
      <c r="U53" s="7">
        <f t="shared" si="12"/>
        <v>37</v>
      </c>
      <c r="V53" s="7">
        <f t="shared" si="12"/>
        <v>83</v>
      </c>
    </row>
    <row r="54" spans="1:22" ht="18" customHeight="1" x14ac:dyDescent="0.25">
      <c r="A54" s="42"/>
      <c r="B54" s="42"/>
      <c r="C54" s="44"/>
      <c r="D54" s="5" t="s">
        <v>63</v>
      </c>
      <c r="E54" s="6">
        <v>20</v>
      </c>
      <c r="F54" s="6">
        <v>25</v>
      </c>
      <c r="G54" s="7">
        <f t="shared" si="26"/>
        <v>45</v>
      </c>
      <c r="H54" s="6"/>
      <c r="I54" s="6"/>
      <c r="J54" s="7">
        <f t="shared" si="22"/>
        <v>0</v>
      </c>
      <c r="K54" s="6"/>
      <c r="L54" s="6"/>
      <c r="M54" s="7">
        <f t="shared" si="23"/>
        <v>0</v>
      </c>
      <c r="N54" s="6"/>
      <c r="O54" s="6"/>
      <c r="P54" s="7">
        <f t="shared" si="24"/>
        <v>0</v>
      </c>
      <c r="Q54" s="6"/>
      <c r="R54" s="6"/>
      <c r="S54" s="7">
        <f t="shared" si="25"/>
        <v>0</v>
      </c>
      <c r="T54" s="7">
        <f t="shared" si="12"/>
        <v>20</v>
      </c>
      <c r="U54" s="7">
        <f t="shared" si="12"/>
        <v>25</v>
      </c>
      <c r="V54" s="7">
        <f t="shared" si="12"/>
        <v>45</v>
      </c>
    </row>
    <row r="55" spans="1:22" ht="18" customHeight="1" x14ac:dyDescent="0.25">
      <c r="A55" s="42"/>
      <c r="B55" s="42"/>
      <c r="C55" s="44"/>
      <c r="D55" s="5" t="s">
        <v>64</v>
      </c>
      <c r="E55" s="6">
        <v>38</v>
      </c>
      <c r="F55" s="6">
        <v>37</v>
      </c>
      <c r="G55" s="7">
        <f>SUM(E55:F55)</f>
        <v>75</v>
      </c>
      <c r="H55" s="6"/>
      <c r="I55" s="6"/>
      <c r="J55" s="7">
        <f>SUM(H55:I55)</f>
        <v>0</v>
      </c>
      <c r="K55" s="6"/>
      <c r="L55" s="6"/>
      <c r="M55" s="7">
        <f>SUM(K55:L55)</f>
        <v>0</v>
      </c>
      <c r="N55" s="6"/>
      <c r="O55" s="6"/>
      <c r="P55" s="7">
        <f>SUM(N55:O55)</f>
        <v>0</v>
      </c>
      <c r="Q55" s="6"/>
      <c r="R55" s="6"/>
      <c r="S55" s="7">
        <f>SUM(Q55:R55)</f>
        <v>0</v>
      </c>
      <c r="T55" s="7">
        <f t="shared" si="12"/>
        <v>38</v>
      </c>
      <c r="U55" s="7">
        <f t="shared" si="12"/>
        <v>37</v>
      </c>
      <c r="V55" s="7">
        <f t="shared" si="12"/>
        <v>75</v>
      </c>
    </row>
    <row r="56" spans="1:22" ht="18" customHeight="1" x14ac:dyDescent="0.25">
      <c r="A56" s="42"/>
      <c r="B56" s="42"/>
      <c r="C56" s="44"/>
      <c r="D56" s="5" t="s">
        <v>65</v>
      </c>
      <c r="E56" s="6">
        <v>8</v>
      </c>
      <c r="F56" s="6">
        <v>10</v>
      </c>
      <c r="G56" s="7">
        <f>SUM(E56:F56)</f>
        <v>18</v>
      </c>
      <c r="H56" s="6"/>
      <c r="I56" s="6"/>
      <c r="J56" s="7">
        <f>SUM(H56:I56)</f>
        <v>0</v>
      </c>
      <c r="K56" s="6"/>
      <c r="L56" s="6"/>
      <c r="M56" s="7">
        <f>SUM(K56:L56)</f>
        <v>0</v>
      </c>
      <c r="N56" s="6"/>
      <c r="O56" s="6"/>
      <c r="P56" s="7">
        <f>SUM(N56:O56)</f>
        <v>0</v>
      </c>
      <c r="Q56" s="6"/>
      <c r="R56" s="6"/>
      <c r="S56" s="7">
        <f>SUM(Q56:R56)</f>
        <v>0</v>
      </c>
      <c r="T56" s="7">
        <f t="shared" si="12"/>
        <v>8</v>
      </c>
      <c r="U56" s="7">
        <f t="shared" si="12"/>
        <v>10</v>
      </c>
      <c r="V56" s="7">
        <f t="shared" si="12"/>
        <v>18</v>
      </c>
    </row>
    <row r="57" spans="1:22" ht="18" customHeight="1" x14ac:dyDescent="0.25">
      <c r="A57" s="42"/>
      <c r="B57" s="42"/>
      <c r="C57" s="44"/>
      <c r="D57" s="5" t="s">
        <v>66</v>
      </c>
      <c r="E57" s="6">
        <v>28</v>
      </c>
      <c r="F57" s="6">
        <v>23</v>
      </c>
      <c r="G57" s="7">
        <f t="shared" si="26"/>
        <v>51</v>
      </c>
      <c r="H57" s="6"/>
      <c r="I57" s="6"/>
      <c r="J57" s="7">
        <f t="shared" ref="J57:J61" si="27">SUM(H57:I57)</f>
        <v>0</v>
      </c>
      <c r="K57" s="6"/>
      <c r="L57" s="6"/>
      <c r="M57" s="7">
        <f t="shared" ref="M57:M61" si="28">SUM(K57:L57)</f>
        <v>0</v>
      </c>
      <c r="N57" s="6"/>
      <c r="O57" s="6"/>
      <c r="P57" s="7">
        <f t="shared" ref="P57:P61" si="29">SUM(N57:O57)</f>
        <v>0</v>
      </c>
      <c r="Q57" s="6"/>
      <c r="R57" s="6"/>
      <c r="S57" s="7">
        <f t="shared" ref="S57:S61" si="30">SUM(Q57:R57)</f>
        <v>0</v>
      </c>
      <c r="T57" s="7">
        <f t="shared" si="12"/>
        <v>28</v>
      </c>
      <c r="U57" s="7">
        <f t="shared" si="12"/>
        <v>23</v>
      </c>
      <c r="V57" s="7">
        <f t="shared" si="12"/>
        <v>51</v>
      </c>
    </row>
    <row r="58" spans="1:22" ht="18" customHeight="1" x14ac:dyDescent="0.25">
      <c r="A58" s="42"/>
      <c r="B58" s="42"/>
      <c r="C58" s="44"/>
      <c r="D58" s="5" t="s">
        <v>67</v>
      </c>
      <c r="E58" s="6">
        <v>39</v>
      </c>
      <c r="F58" s="6">
        <v>33</v>
      </c>
      <c r="G58" s="7">
        <f t="shared" si="26"/>
        <v>72</v>
      </c>
      <c r="H58" s="6"/>
      <c r="I58" s="6"/>
      <c r="J58" s="7">
        <f t="shared" si="27"/>
        <v>0</v>
      </c>
      <c r="K58" s="6"/>
      <c r="L58" s="6"/>
      <c r="M58" s="7">
        <f t="shared" si="28"/>
        <v>0</v>
      </c>
      <c r="N58" s="6"/>
      <c r="O58" s="6"/>
      <c r="P58" s="7">
        <f t="shared" si="29"/>
        <v>0</v>
      </c>
      <c r="Q58" s="6"/>
      <c r="R58" s="6"/>
      <c r="S58" s="7">
        <f t="shared" si="30"/>
        <v>0</v>
      </c>
      <c r="T58" s="7">
        <f t="shared" si="12"/>
        <v>39</v>
      </c>
      <c r="U58" s="7">
        <f t="shared" si="12"/>
        <v>33</v>
      </c>
      <c r="V58" s="7">
        <f t="shared" si="12"/>
        <v>72</v>
      </c>
    </row>
    <row r="59" spans="1:22" ht="18" customHeight="1" x14ac:dyDescent="0.25">
      <c r="A59" s="42"/>
      <c r="B59" s="42"/>
      <c r="C59" s="44"/>
      <c r="D59" s="5" t="s">
        <v>229</v>
      </c>
      <c r="E59" s="6">
        <v>55</v>
      </c>
      <c r="F59" s="6">
        <v>43</v>
      </c>
      <c r="G59" s="7">
        <f t="shared" si="26"/>
        <v>98</v>
      </c>
      <c r="H59" s="6"/>
      <c r="I59" s="6"/>
      <c r="J59" s="7"/>
      <c r="K59" s="6"/>
      <c r="L59" s="6"/>
      <c r="M59" s="7"/>
      <c r="N59" s="6"/>
      <c r="O59" s="6"/>
      <c r="P59" s="7"/>
      <c r="Q59" s="6"/>
      <c r="R59" s="6"/>
      <c r="S59" s="7"/>
      <c r="T59" s="7">
        <f t="shared" si="12"/>
        <v>55</v>
      </c>
      <c r="U59" s="7">
        <f t="shared" si="12"/>
        <v>43</v>
      </c>
      <c r="V59" s="7">
        <v>98</v>
      </c>
    </row>
    <row r="60" spans="1:22" ht="18" customHeight="1" x14ac:dyDescent="0.25">
      <c r="A60" s="42"/>
      <c r="B60" s="42"/>
      <c r="C60" s="44"/>
      <c r="D60" s="5" t="s">
        <v>68</v>
      </c>
      <c r="E60" s="6">
        <v>12</v>
      </c>
      <c r="F60" s="6">
        <v>6</v>
      </c>
      <c r="G60" s="7">
        <f t="shared" ref="G60" si="31">SUM(E60:F60)</f>
        <v>18</v>
      </c>
      <c r="H60" s="6"/>
      <c r="I60" s="6"/>
      <c r="J60" s="7">
        <f t="shared" ref="J60" si="32">SUM(H60:I60)</f>
        <v>0</v>
      </c>
      <c r="K60" s="6"/>
      <c r="L60" s="6"/>
      <c r="M60" s="7">
        <f t="shared" ref="M60" si="33">SUM(K60:L60)</f>
        <v>0</v>
      </c>
      <c r="N60" s="6"/>
      <c r="O60" s="6"/>
      <c r="P60" s="7">
        <f t="shared" ref="P60" si="34">SUM(N60:O60)</f>
        <v>0</v>
      </c>
      <c r="Q60" s="6"/>
      <c r="R60" s="6"/>
      <c r="S60" s="7">
        <f t="shared" ref="S60" si="35">SUM(Q60:R60)</f>
        <v>0</v>
      </c>
      <c r="T60" s="7">
        <f t="shared" ref="T60" si="36">SUM(E60,H60,K60,N60,Q60)</f>
        <v>12</v>
      </c>
      <c r="U60" s="7">
        <f t="shared" ref="U60" si="37">SUM(F60,I60,L60,O60,R60)</f>
        <v>6</v>
      </c>
      <c r="V60" s="7">
        <f t="shared" ref="V60" si="38">SUM(G60,J60,M60,P60,S60)</f>
        <v>18</v>
      </c>
    </row>
    <row r="61" spans="1:22" ht="18" customHeight="1" x14ac:dyDescent="0.25">
      <c r="A61" s="42"/>
      <c r="B61" s="42"/>
      <c r="C61" s="44"/>
      <c r="D61" s="5" t="s">
        <v>228</v>
      </c>
      <c r="E61" s="6">
        <v>11</v>
      </c>
      <c r="F61" s="6">
        <v>5</v>
      </c>
      <c r="G61" s="7">
        <f t="shared" si="26"/>
        <v>16</v>
      </c>
      <c r="H61" s="6"/>
      <c r="I61" s="6"/>
      <c r="J61" s="7">
        <f t="shared" si="27"/>
        <v>0</v>
      </c>
      <c r="K61" s="6"/>
      <c r="L61" s="6"/>
      <c r="M61" s="7">
        <f t="shared" si="28"/>
        <v>0</v>
      </c>
      <c r="N61" s="6"/>
      <c r="O61" s="6"/>
      <c r="P61" s="7">
        <f t="shared" si="29"/>
        <v>0</v>
      </c>
      <c r="Q61" s="6"/>
      <c r="R61" s="6"/>
      <c r="S61" s="7">
        <f t="shared" si="30"/>
        <v>0</v>
      </c>
      <c r="T61" s="7">
        <f t="shared" si="12"/>
        <v>11</v>
      </c>
      <c r="U61" s="7">
        <f t="shared" si="12"/>
        <v>5</v>
      </c>
      <c r="V61" s="7">
        <f t="shared" si="12"/>
        <v>16</v>
      </c>
    </row>
    <row r="62" spans="1:22" ht="18" customHeight="1" x14ac:dyDescent="0.25">
      <c r="A62" s="42"/>
      <c r="B62" s="42"/>
      <c r="C62" s="44"/>
      <c r="D62" s="9" t="s">
        <v>23</v>
      </c>
      <c r="E62" s="11">
        <f t="shared" ref="E62:S62" si="39">SUM(E52:E61)</f>
        <v>266</v>
      </c>
      <c r="F62" s="11">
        <f t="shared" si="39"/>
        <v>222</v>
      </c>
      <c r="G62" s="11">
        <f t="shared" si="39"/>
        <v>488</v>
      </c>
      <c r="H62" s="11">
        <f t="shared" si="39"/>
        <v>0</v>
      </c>
      <c r="I62" s="11">
        <f t="shared" si="39"/>
        <v>0</v>
      </c>
      <c r="J62" s="11">
        <f t="shared" si="39"/>
        <v>0</v>
      </c>
      <c r="K62" s="11">
        <f t="shared" si="39"/>
        <v>0</v>
      </c>
      <c r="L62" s="11">
        <f t="shared" si="39"/>
        <v>0</v>
      </c>
      <c r="M62" s="11">
        <f t="shared" si="39"/>
        <v>0</v>
      </c>
      <c r="N62" s="11">
        <f t="shared" si="39"/>
        <v>0</v>
      </c>
      <c r="O62" s="11">
        <f t="shared" si="39"/>
        <v>0</v>
      </c>
      <c r="P62" s="11">
        <f t="shared" si="39"/>
        <v>0</v>
      </c>
      <c r="Q62" s="11">
        <f t="shared" si="39"/>
        <v>0</v>
      </c>
      <c r="R62" s="11">
        <f t="shared" si="39"/>
        <v>0</v>
      </c>
      <c r="S62" s="11">
        <f t="shared" si="39"/>
        <v>0</v>
      </c>
      <c r="T62" s="12">
        <f t="shared" si="12"/>
        <v>266</v>
      </c>
      <c r="U62" s="12">
        <f t="shared" si="12"/>
        <v>222</v>
      </c>
      <c r="V62" s="12">
        <f t="shared" si="12"/>
        <v>488</v>
      </c>
    </row>
    <row r="63" spans="1:22" ht="18" customHeight="1" x14ac:dyDescent="0.25">
      <c r="A63" s="42"/>
      <c r="B63" s="42"/>
      <c r="C63" s="42" t="s">
        <v>69</v>
      </c>
      <c r="D63" s="5" t="s">
        <v>70</v>
      </c>
      <c r="E63" s="6">
        <v>24</v>
      </c>
      <c r="F63" s="6">
        <v>19</v>
      </c>
      <c r="G63" s="7">
        <f t="shared" si="26"/>
        <v>43</v>
      </c>
      <c r="H63" s="6"/>
      <c r="I63" s="6"/>
      <c r="J63" s="7">
        <f t="shared" ref="J63" si="40">SUM(H63:I63)</f>
        <v>0</v>
      </c>
      <c r="K63" s="6"/>
      <c r="L63" s="6"/>
      <c r="M63" s="7">
        <f t="shared" ref="M63" si="41">SUM(K63:L63)</f>
        <v>0</v>
      </c>
      <c r="N63" s="6"/>
      <c r="O63" s="6"/>
      <c r="P63" s="7">
        <f t="shared" ref="P63" si="42">SUM(N63:O63)</f>
        <v>0</v>
      </c>
      <c r="Q63" s="6"/>
      <c r="R63" s="6"/>
      <c r="S63" s="7">
        <f t="shared" ref="S63" si="43">SUM(Q63:R63)</f>
        <v>0</v>
      </c>
      <c r="T63" s="7">
        <f t="shared" si="12"/>
        <v>24</v>
      </c>
      <c r="U63" s="7">
        <f t="shared" si="12"/>
        <v>19</v>
      </c>
      <c r="V63" s="7">
        <f t="shared" si="12"/>
        <v>43</v>
      </c>
    </row>
    <row r="64" spans="1:22" ht="18" customHeight="1" x14ac:dyDescent="0.25">
      <c r="A64" s="42"/>
      <c r="B64" s="42"/>
      <c r="C64" s="42"/>
      <c r="D64" s="5" t="s">
        <v>71</v>
      </c>
      <c r="E64" s="6">
        <v>2</v>
      </c>
      <c r="F64" s="6">
        <v>6</v>
      </c>
      <c r="G64" s="7">
        <f>SUM(E64:F64)</f>
        <v>8</v>
      </c>
      <c r="H64" s="6"/>
      <c r="I64" s="6"/>
      <c r="J64" s="7">
        <f>SUM(H64:I64)</f>
        <v>0</v>
      </c>
      <c r="K64" s="6"/>
      <c r="L64" s="6"/>
      <c r="M64" s="7">
        <f>SUM(K64:L64)</f>
        <v>0</v>
      </c>
      <c r="N64" s="6"/>
      <c r="O64" s="6"/>
      <c r="P64" s="7">
        <f>SUM(N64:O64)</f>
        <v>0</v>
      </c>
      <c r="Q64" s="6"/>
      <c r="R64" s="6"/>
      <c r="S64" s="7">
        <f>SUM(Q64:R64)</f>
        <v>0</v>
      </c>
      <c r="T64" s="7">
        <f t="shared" si="12"/>
        <v>2</v>
      </c>
      <c r="U64" s="7">
        <f t="shared" si="12"/>
        <v>6</v>
      </c>
      <c r="V64" s="7">
        <f t="shared" si="12"/>
        <v>8</v>
      </c>
    </row>
    <row r="65" spans="1:22" ht="18" customHeight="1" x14ac:dyDescent="0.25">
      <c r="A65" s="42"/>
      <c r="B65" s="42"/>
      <c r="C65" s="42"/>
      <c r="D65" s="5" t="s">
        <v>72</v>
      </c>
      <c r="E65" s="6">
        <v>36</v>
      </c>
      <c r="F65" s="6">
        <v>32</v>
      </c>
      <c r="G65" s="7">
        <f t="shared" si="26"/>
        <v>68</v>
      </c>
      <c r="H65" s="6"/>
      <c r="I65" s="6"/>
      <c r="J65" s="7">
        <f t="shared" ref="J65:J70" si="44">SUM(H65:I65)</f>
        <v>0</v>
      </c>
      <c r="K65" s="6"/>
      <c r="L65" s="6"/>
      <c r="M65" s="7">
        <f t="shared" ref="M65:M70" si="45">SUM(K65:L65)</f>
        <v>0</v>
      </c>
      <c r="N65" s="6"/>
      <c r="O65" s="6"/>
      <c r="P65" s="7">
        <f t="shared" ref="P65:P70" si="46">SUM(N65:O65)</f>
        <v>0</v>
      </c>
      <c r="Q65" s="6"/>
      <c r="R65" s="6"/>
      <c r="S65" s="7">
        <f t="shared" ref="S65:S70" si="47">SUM(Q65:R65)</f>
        <v>0</v>
      </c>
      <c r="T65" s="7">
        <f t="shared" si="12"/>
        <v>36</v>
      </c>
      <c r="U65" s="7">
        <f t="shared" si="12"/>
        <v>32</v>
      </c>
      <c r="V65" s="7">
        <f t="shared" si="12"/>
        <v>68</v>
      </c>
    </row>
    <row r="66" spans="1:22" ht="18" customHeight="1" x14ac:dyDescent="0.25">
      <c r="A66" s="42"/>
      <c r="B66" s="42"/>
      <c r="C66" s="42"/>
      <c r="D66" s="5" t="s">
        <v>73</v>
      </c>
      <c r="E66" s="6">
        <v>9</v>
      </c>
      <c r="F66" s="6">
        <v>6</v>
      </c>
      <c r="G66" s="7">
        <f t="shared" si="26"/>
        <v>15</v>
      </c>
      <c r="H66" s="6"/>
      <c r="I66" s="6"/>
      <c r="J66" s="7">
        <f t="shared" si="44"/>
        <v>0</v>
      </c>
      <c r="K66" s="6"/>
      <c r="L66" s="6"/>
      <c r="M66" s="7">
        <f t="shared" si="45"/>
        <v>0</v>
      </c>
      <c r="N66" s="6"/>
      <c r="O66" s="6"/>
      <c r="P66" s="7">
        <f t="shared" si="46"/>
        <v>0</v>
      </c>
      <c r="Q66" s="6"/>
      <c r="R66" s="6"/>
      <c r="S66" s="7">
        <f t="shared" si="47"/>
        <v>0</v>
      </c>
      <c r="T66" s="7">
        <f t="shared" si="12"/>
        <v>9</v>
      </c>
      <c r="U66" s="7">
        <f t="shared" si="12"/>
        <v>6</v>
      </c>
      <c r="V66" s="7">
        <f t="shared" si="12"/>
        <v>15</v>
      </c>
    </row>
    <row r="67" spans="1:22" ht="18" customHeight="1" x14ac:dyDescent="0.25">
      <c r="A67" s="42"/>
      <c r="B67" s="42"/>
      <c r="C67" s="42"/>
      <c r="D67" s="5" t="s">
        <v>74</v>
      </c>
      <c r="E67" s="6">
        <v>4</v>
      </c>
      <c r="F67" s="6">
        <v>3</v>
      </c>
      <c r="G67" s="7">
        <f t="shared" si="26"/>
        <v>7</v>
      </c>
      <c r="H67" s="6"/>
      <c r="I67" s="6"/>
      <c r="J67" s="7">
        <f t="shared" si="44"/>
        <v>0</v>
      </c>
      <c r="K67" s="6"/>
      <c r="L67" s="6"/>
      <c r="M67" s="7">
        <f t="shared" si="45"/>
        <v>0</v>
      </c>
      <c r="N67" s="6"/>
      <c r="O67" s="6"/>
      <c r="P67" s="7">
        <f t="shared" si="46"/>
        <v>0</v>
      </c>
      <c r="Q67" s="6"/>
      <c r="R67" s="6"/>
      <c r="S67" s="7">
        <f t="shared" si="47"/>
        <v>0</v>
      </c>
      <c r="T67" s="7">
        <f t="shared" si="12"/>
        <v>4</v>
      </c>
      <c r="U67" s="7">
        <f t="shared" si="12"/>
        <v>3</v>
      </c>
      <c r="V67" s="7">
        <f t="shared" si="12"/>
        <v>7</v>
      </c>
    </row>
    <row r="68" spans="1:22" ht="18" customHeight="1" x14ac:dyDescent="0.25">
      <c r="A68" s="42"/>
      <c r="B68" s="42"/>
      <c r="C68" s="42"/>
      <c r="D68" s="5" t="s">
        <v>75</v>
      </c>
      <c r="E68" s="6">
        <v>17</v>
      </c>
      <c r="F68" s="6">
        <v>29</v>
      </c>
      <c r="G68" s="7">
        <f t="shared" si="26"/>
        <v>46</v>
      </c>
      <c r="H68" s="6"/>
      <c r="I68" s="6"/>
      <c r="J68" s="7">
        <f t="shared" si="44"/>
        <v>0</v>
      </c>
      <c r="K68" s="6"/>
      <c r="L68" s="6"/>
      <c r="M68" s="7">
        <f t="shared" si="45"/>
        <v>0</v>
      </c>
      <c r="N68" s="6"/>
      <c r="O68" s="6"/>
      <c r="P68" s="7">
        <f t="shared" si="46"/>
        <v>0</v>
      </c>
      <c r="Q68" s="6"/>
      <c r="R68" s="6"/>
      <c r="S68" s="7">
        <f t="shared" si="47"/>
        <v>0</v>
      </c>
      <c r="T68" s="7">
        <f t="shared" si="12"/>
        <v>17</v>
      </c>
      <c r="U68" s="7">
        <f t="shared" si="12"/>
        <v>29</v>
      </c>
      <c r="V68" s="7">
        <f t="shared" si="12"/>
        <v>46</v>
      </c>
    </row>
    <row r="69" spans="1:22" ht="18" customHeight="1" x14ac:dyDescent="0.25">
      <c r="A69" s="42"/>
      <c r="B69" s="42"/>
      <c r="C69" s="42"/>
      <c r="D69" s="5" t="s">
        <v>76</v>
      </c>
      <c r="E69" s="6">
        <v>2</v>
      </c>
      <c r="F69" s="6">
        <v>0</v>
      </c>
      <c r="G69" s="6">
        <f t="shared" si="26"/>
        <v>2</v>
      </c>
      <c r="H69" s="6"/>
      <c r="I69" s="6"/>
      <c r="J69" s="6">
        <f t="shared" si="44"/>
        <v>0</v>
      </c>
      <c r="K69" s="6"/>
      <c r="L69" s="6"/>
      <c r="M69" s="6">
        <f t="shared" si="45"/>
        <v>0</v>
      </c>
      <c r="N69" s="6"/>
      <c r="O69" s="6"/>
      <c r="P69" s="6">
        <f t="shared" si="46"/>
        <v>0</v>
      </c>
      <c r="Q69" s="6"/>
      <c r="R69" s="6"/>
      <c r="S69" s="6">
        <f t="shared" si="47"/>
        <v>0</v>
      </c>
      <c r="T69" s="7">
        <f t="shared" si="12"/>
        <v>2</v>
      </c>
      <c r="U69" s="7">
        <f t="shared" si="12"/>
        <v>0</v>
      </c>
      <c r="V69" s="7">
        <f t="shared" si="12"/>
        <v>2</v>
      </c>
    </row>
    <row r="70" spans="1:22" ht="18" customHeight="1" x14ac:dyDescent="0.25">
      <c r="A70" s="42"/>
      <c r="B70" s="42"/>
      <c r="C70" s="42"/>
      <c r="D70" s="5" t="s">
        <v>77</v>
      </c>
      <c r="E70" s="6">
        <v>1</v>
      </c>
      <c r="F70" s="6">
        <v>1</v>
      </c>
      <c r="G70" s="7">
        <f t="shared" si="26"/>
        <v>2</v>
      </c>
      <c r="H70" s="6"/>
      <c r="I70" s="6"/>
      <c r="J70" s="7">
        <f t="shared" si="44"/>
        <v>0</v>
      </c>
      <c r="K70" s="6"/>
      <c r="L70" s="6"/>
      <c r="M70" s="7">
        <f t="shared" si="45"/>
        <v>0</v>
      </c>
      <c r="N70" s="6"/>
      <c r="O70" s="6"/>
      <c r="P70" s="7">
        <f t="shared" si="46"/>
        <v>0</v>
      </c>
      <c r="Q70" s="6"/>
      <c r="R70" s="6"/>
      <c r="S70" s="7">
        <f t="shared" si="47"/>
        <v>0</v>
      </c>
      <c r="T70" s="7">
        <f t="shared" si="12"/>
        <v>1</v>
      </c>
      <c r="U70" s="7">
        <f t="shared" si="12"/>
        <v>1</v>
      </c>
      <c r="V70" s="7">
        <f t="shared" si="12"/>
        <v>2</v>
      </c>
    </row>
    <row r="71" spans="1:22" ht="18" customHeight="1" x14ac:dyDescent="0.25">
      <c r="A71" s="42"/>
      <c r="B71" s="42"/>
      <c r="C71" s="43"/>
      <c r="D71" s="9" t="s">
        <v>23</v>
      </c>
      <c r="E71" s="11">
        <f t="shared" ref="E71:S71" si="48">SUM(E63:E70)</f>
        <v>95</v>
      </c>
      <c r="F71" s="10">
        <f t="shared" si="48"/>
        <v>96</v>
      </c>
      <c r="G71" s="11">
        <f t="shared" si="48"/>
        <v>191</v>
      </c>
      <c r="H71" s="11">
        <f t="shared" si="48"/>
        <v>0</v>
      </c>
      <c r="I71" s="10">
        <f t="shared" si="48"/>
        <v>0</v>
      </c>
      <c r="J71" s="11">
        <f t="shared" si="48"/>
        <v>0</v>
      </c>
      <c r="K71" s="11">
        <f t="shared" si="48"/>
        <v>0</v>
      </c>
      <c r="L71" s="10">
        <f t="shared" si="48"/>
        <v>0</v>
      </c>
      <c r="M71" s="11">
        <f t="shared" si="48"/>
        <v>0</v>
      </c>
      <c r="N71" s="11">
        <f t="shared" si="48"/>
        <v>0</v>
      </c>
      <c r="O71" s="10">
        <f t="shared" si="48"/>
        <v>0</v>
      </c>
      <c r="P71" s="11">
        <f t="shared" si="48"/>
        <v>0</v>
      </c>
      <c r="Q71" s="11">
        <f t="shared" si="48"/>
        <v>0</v>
      </c>
      <c r="R71" s="10">
        <f t="shared" si="48"/>
        <v>0</v>
      </c>
      <c r="S71" s="11">
        <f t="shared" si="48"/>
        <v>0</v>
      </c>
      <c r="T71" s="12">
        <f t="shared" si="12"/>
        <v>95</v>
      </c>
      <c r="U71" s="12">
        <f t="shared" si="12"/>
        <v>96</v>
      </c>
      <c r="V71" s="12">
        <f t="shared" si="12"/>
        <v>191</v>
      </c>
    </row>
    <row r="72" spans="1:22" ht="18" customHeight="1" x14ac:dyDescent="0.25">
      <c r="A72" s="42"/>
      <c r="B72" s="43"/>
      <c r="C72" s="39" t="s">
        <v>33</v>
      </c>
      <c r="D72" s="40"/>
      <c r="E72" s="13">
        <f t="shared" ref="E72:S72" si="49">SUM(E62,E71)</f>
        <v>361</v>
      </c>
      <c r="F72" s="13">
        <f t="shared" si="49"/>
        <v>318</v>
      </c>
      <c r="G72" s="13">
        <f t="shared" si="49"/>
        <v>679</v>
      </c>
      <c r="H72" s="13">
        <f t="shared" si="49"/>
        <v>0</v>
      </c>
      <c r="I72" s="13">
        <f t="shared" si="49"/>
        <v>0</v>
      </c>
      <c r="J72" s="13">
        <f t="shared" si="49"/>
        <v>0</v>
      </c>
      <c r="K72" s="13">
        <f t="shared" si="49"/>
        <v>0</v>
      </c>
      <c r="L72" s="13">
        <f t="shared" si="49"/>
        <v>0</v>
      </c>
      <c r="M72" s="13">
        <f t="shared" si="49"/>
        <v>0</v>
      </c>
      <c r="N72" s="13">
        <f t="shared" si="49"/>
        <v>0</v>
      </c>
      <c r="O72" s="13">
        <f t="shared" si="49"/>
        <v>0</v>
      </c>
      <c r="P72" s="13">
        <f t="shared" si="49"/>
        <v>0</v>
      </c>
      <c r="Q72" s="13">
        <f t="shared" si="49"/>
        <v>0</v>
      </c>
      <c r="R72" s="13">
        <f t="shared" si="49"/>
        <v>0</v>
      </c>
      <c r="S72" s="13">
        <f t="shared" si="49"/>
        <v>0</v>
      </c>
      <c r="T72" s="7">
        <f t="shared" si="12"/>
        <v>361</v>
      </c>
      <c r="U72" s="7">
        <f t="shared" si="12"/>
        <v>318</v>
      </c>
      <c r="V72" s="7">
        <f t="shared" si="12"/>
        <v>679</v>
      </c>
    </row>
    <row r="73" spans="1:22" ht="18" customHeight="1" x14ac:dyDescent="0.25">
      <c r="A73" s="42"/>
      <c r="B73" s="41" t="s">
        <v>78</v>
      </c>
      <c r="C73" s="41" t="s">
        <v>79</v>
      </c>
      <c r="D73" s="5" t="s">
        <v>80</v>
      </c>
      <c r="E73" s="6"/>
      <c r="F73" s="6"/>
      <c r="G73" s="7">
        <f>SUM(E73:F73)</f>
        <v>0</v>
      </c>
      <c r="H73" s="6"/>
      <c r="I73" s="6"/>
      <c r="J73" s="7">
        <f>SUM(H73:I73)</f>
        <v>0</v>
      </c>
      <c r="K73" s="6"/>
      <c r="L73" s="6"/>
      <c r="M73" s="7">
        <f>SUM(K73:L73)</f>
        <v>0</v>
      </c>
      <c r="N73" s="6"/>
      <c r="O73" s="6"/>
      <c r="P73" s="7">
        <f>SUM(N73:O73)</f>
        <v>0</v>
      </c>
      <c r="Q73" s="6"/>
      <c r="R73" s="6"/>
      <c r="S73" s="7">
        <f>SUM(Q73:R73)</f>
        <v>0</v>
      </c>
      <c r="T73" s="7">
        <f t="shared" si="12"/>
        <v>0</v>
      </c>
      <c r="U73" s="7">
        <f t="shared" si="12"/>
        <v>0</v>
      </c>
      <c r="V73" s="7">
        <f t="shared" si="12"/>
        <v>0</v>
      </c>
    </row>
    <row r="74" spans="1:22" ht="18" customHeight="1" x14ac:dyDescent="0.25">
      <c r="A74" s="42"/>
      <c r="B74" s="42"/>
      <c r="C74" s="42"/>
      <c r="D74" s="5" t="s">
        <v>81</v>
      </c>
      <c r="E74" s="6"/>
      <c r="F74" s="6"/>
      <c r="G74" s="7">
        <f>SUM(E74:F74)</f>
        <v>0</v>
      </c>
      <c r="H74" s="6"/>
      <c r="I74" s="6"/>
      <c r="J74" s="7">
        <f>SUM(H74:I74)</f>
        <v>0</v>
      </c>
      <c r="K74" s="6"/>
      <c r="L74" s="6"/>
      <c r="M74" s="7">
        <f>SUM(K74:L74)</f>
        <v>0</v>
      </c>
      <c r="N74" s="6"/>
      <c r="O74" s="6"/>
      <c r="P74" s="7">
        <f>SUM(N74:O74)</f>
        <v>0</v>
      </c>
      <c r="Q74" s="6"/>
      <c r="R74" s="6"/>
      <c r="S74" s="7">
        <f>SUM(Q74:R74)</f>
        <v>0</v>
      </c>
      <c r="T74" s="7">
        <f t="shared" si="12"/>
        <v>0</v>
      </c>
      <c r="U74" s="7">
        <f t="shared" si="12"/>
        <v>0</v>
      </c>
      <c r="V74" s="7">
        <f t="shared" si="12"/>
        <v>0</v>
      </c>
    </row>
    <row r="75" spans="1:22" ht="18" customHeight="1" x14ac:dyDescent="0.25">
      <c r="A75" s="42"/>
      <c r="B75" s="42"/>
      <c r="C75" s="42"/>
      <c r="D75" s="5" t="s">
        <v>82</v>
      </c>
      <c r="E75" s="6"/>
      <c r="F75" s="6"/>
      <c r="G75" s="7">
        <f>SUM(E75:F75)</f>
        <v>0</v>
      </c>
      <c r="H75" s="6"/>
      <c r="I75" s="6"/>
      <c r="J75" s="7">
        <f>SUM(H75:I75)</f>
        <v>0</v>
      </c>
      <c r="K75" s="6"/>
      <c r="L75" s="6"/>
      <c r="M75" s="7">
        <f>SUM(K75:L75)</f>
        <v>0</v>
      </c>
      <c r="N75" s="6"/>
      <c r="O75" s="6"/>
      <c r="P75" s="7">
        <f>SUM(N75:O75)</f>
        <v>0</v>
      </c>
      <c r="Q75" s="6"/>
      <c r="R75" s="6"/>
      <c r="S75" s="7">
        <f>SUM(Q75:R75)</f>
        <v>0</v>
      </c>
      <c r="T75" s="7">
        <f t="shared" si="12"/>
        <v>0</v>
      </c>
      <c r="U75" s="7">
        <f t="shared" si="12"/>
        <v>0</v>
      </c>
      <c r="V75" s="7">
        <f t="shared" si="12"/>
        <v>0</v>
      </c>
    </row>
    <row r="76" spans="1:22" ht="18" customHeight="1" x14ac:dyDescent="0.25">
      <c r="A76" s="42"/>
      <c r="B76" s="42"/>
      <c r="C76" s="43"/>
      <c r="D76" s="9" t="s">
        <v>23</v>
      </c>
      <c r="E76" s="10">
        <f t="shared" ref="E76:S76" si="50">SUM(E73:E75)</f>
        <v>0</v>
      </c>
      <c r="F76" s="10">
        <f t="shared" si="50"/>
        <v>0</v>
      </c>
      <c r="G76" s="11">
        <f t="shared" si="50"/>
        <v>0</v>
      </c>
      <c r="H76" s="10">
        <f t="shared" si="50"/>
        <v>0</v>
      </c>
      <c r="I76" s="10">
        <f t="shared" si="50"/>
        <v>0</v>
      </c>
      <c r="J76" s="11">
        <f t="shared" si="50"/>
        <v>0</v>
      </c>
      <c r="K76" s="10">
        <f t="shared" si="50"/>
        <v>0</v>
      </c>
      <c r="L76" s="10">
        <f t="shared" si="50"/>
        <v>0</v>
      </c>
      <c r="M76" s="11">
        <f t="shared" si="50"/>
        <v>0</v>
      </c>
      <c r="N76" s="10">
        <f t="shared" si="50"/>
        <v>0</v>
      </c>
      <c r="O76" s="10">
        <f t="shared" si="50"/>
        <v>0</v>
      </c>
      <c r="P76" s="11">
        <f t="shared" si="50"/>
        <v>0</v>
      </c>
      <c r="Q76" s="10">
        <f t="shared" si="50"/>
        <v>0</v>
      </c>
      <c r="R76" s="10">
        <f t="shared" si="50"/>
        <v>0</v>
      </c>
      <c r="S76" s="11">
        <f t="shared" si="50"/>
        <v>0</v>
      </c>
      <c r="T76" s="12">
        <f t="shared" si="12"/>
        <v>0</v>
      </c>
      <c r="U76" s="12">
        <f t="shared" si="12"/>
        <v>0</v>
      </c>
      <c r="V76" s="12">
        <f t="shared" si="12"/>
        <v>0</v>
      </c>
    </row>
    <row r="77" spans="1:22" ht="21" customHeight="1" x14ac:dyDescent="0.25">
      <c r="A77" s="42"/>
      <c r="B77" s="42"/>
      <c r="C77" s="41" t="s">
        <v>83</v>
      </c>
      <c r="D77" s="5" t="s">
        <v>84</v>
      </c>
      <c r="E77" s="6"/>
      <c r="F77" s="6"/>
      <c r="G77" s="7">
        <f>SUM(E77:F77)</f>
        <v>0</v>
      </c>
      <c r="H77" s="6"/>
      <c r="I77" s="6"/>
      <c r="J77" s="7">
        <f>SUM(H77:I77)</f>
        <v>0</v>
      </c>
      <c r="K77" s="6"/>
      <c r="L77" s="6"/>
      <c r="M77" s="7">
        <f>SUM(K77:L77)</f>
        <v>0</v>
      </c>
      <c r="N77" s="6"/>
      <c r="O77" s="6"/>
      <c r="P77" s="7">
        <f>SUM(N77:O77)</f>
        <v>0</v>
      </c>
      <c r="Q77" s="6"/>
      <c r="R77" s="6"/>
      <c r="S77" s="7">
        <f>SUM(Q77:R77)</f>
        <v>0</v>
      </c>
      <c r="T77" s="7">
        <f t="shared" si="12"/>
        <v>0</v>
      </c>
      <c r="U77" s="7">
        <f t="shared" si="12"/>
        <v>0</v>
      </c>
      <c r="V77" s="7">
        <f t="shared" si="12"/>
        <v>0</v>
      </c>
    </row>
    <row r="78" spans="1:22" ht="17.25" customHeight="1" x14ac:dyDescent="0.25">
      <c r="A78" s="42"/>
      <c r="B78" s="42"/>
      <c r="C78" s="43"/>
      <c r="D78" s="9" t="s">
        <v>23</v>
      </c>
      <c r="E78" s="10">
        <f t="shared" ref="E78:S78" si="51">E77</f>
        <v>0</v>
      </c>
      <c r="F78" s="10">
        <f t="shared" si="51"/>
        <v>0</v>
      </c>
      <c r="G78" s="10">
        <f t="shared" si="51"/>
        <v>0</v>
      </c>
      <c r="H78" s="10">
        <f t="shared" si="51"/>
        <v>0</v>
      </c>
      <c r="I78" s="10">
        <f t="shared" si="51"/>
        <v>0</v>
      </c>
      <c r="J78" s="10">
        <f t="shared" si="51"/>
        <v>0</v>
      </c>
      <c r="K78" s="10">
        <f t="shared" si="51"/>
        <v>0</v>
      </c>
      <c r="L78" s="10">
        <f t="shared" si="51"/>
        <v>0</v>
      </c>
      <c r="M78" s="10">
        <f t="shared" si="51"/>
        <v>0</v>
      </c>
      <c r="N78" s="10">
        <f t="shared" si="51"/>
        <v>0</v>
      </c>
      <c r="O78" s="10">
        <f t="shared" si="51"/>
        <v>0</v>
      </c>
      <c r="P78" s="10">
        <f t="shared" si="51"/>
        <v>0</v>
      </c>
      <c r="Q78" s="10">
        <f t="shared" si="51"/>
        <v>0</v>
      </c>
      <c r="R78" s="10">
        <f t="shared" si="51"/>
        <v>0</v>
      </c>
      <c r="S78" s="10">
        <f t="shared" si="51"/>
        <v>0</v>
      </c>
      <c r="T78" s="12">
        <f t="shared" si="12"/>
        <v>0</v>
      </c>
      <c r="U78" s="12">
        <f t="shared" si="12"/>
        <v>0</v>
      </c>
      <c r="V78" s="12">
        <f t="shared" si="12"/>
        <v>0</v>
      </c>
    </row>
    <row r="79" spans="1:22" ht="18" customHeight="1" x14ac:dyDescent="0.25">
      <c r="A79" s="42"/>
      <c r="B79" s="42"/>
      <c r="C79" s="41" t="s">
        <v>85</v>
      </c>
      <c r="D79" s="5" t="s">
        <v>86</v>
      </c>
      <c r="E79" s="6"/>
      <c r="F79" s="6"/>
      <c r="G79" s="7">
        <f>SUM(E79:F79)</f>
        <v>0</v>
      </c>
      <c r="H79" s="6"/>
      <c r="I79" s="6"/>
      <c r="J79" s="7">
        <f>SUM(H79:I79)</f>
        <v>0</v>
      </c>
      <c r="K79" s="6"/>
      <c r="L79" s="6"/>
      <c r="M79" s="7">
        <f>SUM(K79:L79)</f>
        <v>0</v>
      </c>
      <c r="N79" s="6"/>
      <c r="O79" s="6"/>
      <c r="P79" s="7">
        <f>SUM(N79:O79)</f>
        <v>0</v>
      </c>
      <c r="Q79" s="6"/>
      <c r="R79" s="6"/>
      <c r="S79" s="7">
        <f>SUM(Q79:R79)</f>
        <v>0</v>
      </c>
      <c r="T79" s="7">
        <f t="shared" si="12"/>
        <v>0</v>
      </c>
      <c r="U79" s="7">
        <f t="shared" si="12"/>
        <v>0</v>
      </c>
      <c r="V79" s="7">
        <f t="shared" si="12"/>
        <v>0</v>
      </c>
    </row>
    <row r="80" spans="1:22" ht="18" customHeight="1" x14ac:dyDescent="0.25">
      <c r="A80" s="42"/>
      <c r="B80" s="42"/>
      <c r="C80" s="42"/>
      <c r="D80" s="5" t="s">
        <v>87</v>
      </c>
      <c r="E80" s="6"/>
      <c r="F80" s="6"/>
      <c r="G80" s="7">
        <f>SUM(E80:F80)</f>
        <v>0</v>
      </c>
      <c r="H80" s="6"/>
      <c r="I80" s="6"/>
      <c r="J80" s="7">
        <f>SUM(H80:I80)</f>
        <v>0</v>
      </c>
      <c r="K80" s="6"/>
      <c r="L80" s="6"/>
      <c r="M80" s="7">
        <f>SUM(K80:L80)</f>
        <v>0</v>
      </c>
      <c r="N80" s="6"/>
      <c r="O80" s="6"/>
      <c r="P80" s="7">
        <f>SUM(N80:O80)</f>
        <v>0</v>
      </c>
      <c r="Q80" s="6"/>
      <c r="R80" s="6"/>
      <c r="S80" s="7">
        <f>SUM(Q80:R80)</f>
        <v>0</v>
      </c>
      <c r="T80" s="7">
        <f t="shared" si="12"/>
        <v>0</v>
      </c>
      <c r="U80" s="7">
        <f t="shared" si="12"/>
        <v>0</v>
      </c>
      <c r="V80" s="7">
        <f t="shared" si="12"/>
        <v>0</v>
      </c>
    </row>
    <row r="81" spans="1:22" ht="18" customHeight="1" x14ac:dyDescent="0.25">
      <c r="A81" s="42"/>
      <c r="B81" s="42"/>
      <c r="C81" s="42"/>
      <c r="D81" s="5" t="s">
        <v>88</v>
      </c>
      <c r="E81" s="6"/>
      <c r="F81" s="6"/>
      <c r="G81" s="7">
        <f>SUM(E81:F81)</f>
        <v>0</v>
      </c>
      <c r="H81" s="6"/>
      <c r="I81" s="6"/>
      <c r="J81" s="7">
        <f>SUM(H81:I81)</f>
        <v>0</v>
      </c>
      <c r="K81" s="6"/>
      <c r="L81" s="6"/>
      <c r="M81" s="7">
        <f>SUM(K81:L81)</f>
        <v>0</v>
      </c>
      <c r="N81" s="6"/>
      <c r="O81" s="6"/>
      <c r="P81" s="7">
        <f>SUM(N81:O81)</f>
        <v>0</v>
      </c>
      <c r="Q81" s="6"/>
      <c r="R81" s="6"/>
      <c r="S81" s="7">
        <f>SUM(Q81:R81)</f>
        <v>0</v>
      </c>
      <c r="T81" s="7">
        <f t="shared" si="12"/>
        <v>0</v>
      </c>
      <c r="U81" s="7">
        <f t="shared" si="12"/>
        <v>0</v>
      </c>
      <c r="V81" s="7">
        <f t="shared" si="12"/>
        <v>0</v>
      </c>
    </row>
    <row r="82" spans="1:22" ht="18" customHeight="1" x14ac:dyDescent="0.25">
      <c r="A82" s="42"/>
      <c r="B82" s="42"/>
      <c r="C82" s="43"/>
      <c r="D82" s="9" t="s">
        <v>23</v>
      </c>
      <c r="E82" s="10">
        <f t="shared" ref="E82:S82" si="52">SUM(E79:E81)</f>
        <v>0</v>
      </c>
      <c r="F82" s="10">
        <f t="shared" si="52"/>
        <v>0</v>
      </c>
      <c r="G82" s="11">
        <f t="shared" si="52"/>
        <v>0</v>
      </c>
      <c r="H82" s="10">
        <f t="shared" si="52"/>
        <v>0</v>
      </c>
      <c r="I82" s="10">
        <f t="shared" si="52"/>
        <v>0</v>
      </c>
      <c r="J82" s="11">
        <f t="shared" si="52"/>
        <v>0</v>
      </c>
      <c r="K82" s="10">
        <f t="shared" si="52"/>
        <v>0</v>
      </c>
      <c r="L82" s="10">
        <f t="shared" si="52"/>
        <v>0</v>
      </c>
      <c r="M82" s="11">
        <f t="shared" si="52"/>
        <v>0</v>
      </c>
      <c r="N82" s="10">
        <f t="shared" si="52"/>
        <v>0</v>
      </c>
      <c r="O82" s="10">
        <f t="shared" si="52"/>
        <v>0</v>
      </c>
      <c r="P82" s="11">
        <f t="shared" si="52"/>
        <v>0</v>
      </c>
      <c r="Q82" s="10">
        <f t="shared" si="52"/>
        <v>0</v>
      </c>
      <c r="R82" s="10">
        <f t="shared" si="52"/>
        <v>0</v>
      </c>
      <c r="S82" s="11">
        <f t="shared" si="52"/>
        <v>0</v>
      </c>
      <c r="T82" s="12">
        <f t="shared" si="12"/>
        <v>0</v>
      </c>
      <c r="U82" s="12">
        <f t="shared" si="12"/>
        <v>0</v>
      </c>
      <c r="V82" s="12">
        <f t="shared" si="12"/>
        <v>0</v>
      </c>
    </row>
    <row r="83" spans="1:22" ht="18" customHeight="1" x14ac:dyDescent="0.25">
      <c r="A83" s="42"/>
      <c r="B83" s="42"/>
      <c r="C83" s="41" t="s">
        <v>89</v>
      </c>
      <c r="D83" s="5" t="s">
        <v>90</v>
      </c>
      <c r="E83" s="6"/>
      <c r="F83" s="6"/>
      <c r="G83" s="7">
        <f>SUM(E83:F83)</f>
        <v>0</v>
      </c>
      <c r="H83" s="6"/>
      <c r="I83" s="6"/>
      <c r="J83" s="7">
        <f>SUM(H83:I83)</f>
        <v>0</v>
      </c>
      <c r="K83" s="6"/>
      <c r="L83" s="6"/>
      <c r="M83" s="7">
        <f>SUM(K83:L83)</f>
        <v>0</v>
      </c>
      <c r="N83" s="6"/>
      <c r="O83" s="6"/>
      <c r="P83" s="7">
        <f>SUM(N83:O83)</f>
        <v>0</v>
      </c>
      <c r="Q83" s="6"/>
      <c r="R83" s="6"/>
      <c r="S83" s="7">
        <f>SUM(Q83:R83)</f>
        <v>0</v>
      </c>
      <c r="T83" s="7">
        <f t="shared" si="12"/>
        <v>0</v>
      </c>
      <c r="U83" s="7">
        <f t="shared" si="12"/>
        <v>0</v>
      </c>
      <c r="V83" s="7">
        <f t="shared" si="12"/>
        <v>0</v>
      </c>
    </row>
    <row r="84" spans="1:22" ht="18" customHeight="1" x14ac:dyDescent="0.25">
      <c r="A84" s="42"/>
      <c r="B84" s="42"/>
      <c r="C84" s="42"/>
      <c r="D84" s="5" t="s">
        <v>91</v>
      </c>
      <c r="E84" s="6"/>
      <c r="F84" s="6"/>
      <c r="G84" s="7">
        <f>SUM(E84:F84)</f>
        <v>0</v>
      </c>
      <c r="H84" s="6"/>
      <c r="I84" s="6"/>
      <c r="J84" s="7">
        <f>SUM(H84:I84)</f>
        <v>0</v>
      </c>
      <c r="K84" s="6"/>
      <c r="L84" s="6"/>
      <c r="M84" s="7">
        <f>SUM(K84:L84)</f>
        <v>0</v>
      </c>
      <c r="N84" s="6"/>
      <c r="O84" s="6"/>
      <c r="P84" s="7">
        <f>SUM(N84:O84)</f>
        <v>0</v>
      </c>
      <c r="Q84" s="6"/>
      <c r="R84" s="6"/>
      <c r="S84" s="7">
        <f>SUM(Q84:R84)</f>
        <v>0</v>
      </c>
      <c r="T84" s="7">
        <f t="shared" si="12"/>
        <v>0</v>
      </c>
      <c r="U84" s="7">
        <f t="shared" si="12"/>
        <v>0</v>
      </c>
      <c r="V84" s="7">
        <f t="shared" si="12"/>
        <v>0</v>
      </c>
    </row>
    <row r="85" spans="1:22" ht="18" customHeight="1" x14ac:dyDescent="0.25">
      <c r="A85" s="42"/>
      <c r="B85" s="42"/>
      <c r="C85" s="42"/>
      <c r="D85" s="5" t="s">
        <v>92</v>
      </c>
      <c r="E85" s="6"/>
      <c r="F85" s="6"/>
      <c r="G85" s="7">
        <f>SUM(E85:F85)</f>
        <v>0</v>
      </c>
      <c r="H85" s="6"/>
      <c r="I85" s="6"/>
      <c r="J85" s="7">
        <f>SUM(H85:I85)</f>
        <v>0</v>
      </c>
      <c r="K85" s="6"/>
      <c r="L85" s="6"/>
      <c r="M85" s="7">
        <f>SUM(K85:L85)</f>
        <v>0</v>
      </c>
      <c r="N85" s="6"/>
      <c r="O85" s="6"/>
      <c r="P85" s="7">
        <f>SUM(N85:O85)</f>
        <v>0</v>
      </c>
      <c r="Q85" s="6"/>
      <c r="R85" s="6"/>
      <c r="S85" s="7">
        <f>SUM(Q85:R85)</f>
        <v>0</v>
      </c>
      <c r="T85" s="7">
        <f t="shared" si="12"/>
        <v>0</v>
      </c>
      <c r="U85" s="7">
        <f t="shared" si="12"/>
        <v>0</v>
      </c>
      <c r="V85" s="7">
        <f t="shared" si="12"/>
        <v>0</v>
      </c>
    </row>
    <row r="86" spans="1:22" ht="18" customHeight="1" x14ac:dyDescent="0.25">
      <c r="A86" s="42"/>
      <c r="B86" s="42"/>
      <c r="C86" s="42"/>
      <c r="D86" s="5" t="s">
        <v>93</v>
      </c>
      <c r="E86" s="6"/>
      <c r="F86" s="6"/>
      <c r="G86" s="7">
        <f>SUM(E86:F86)</f>
        <v>0</v>
      </c>
      <c r="H86" s="6"/>
      <c r="I86" s="6"/>
      <c r="J86" s="7">
        <f>SUM(H86:I86)</f>
        <v>0</v>
      </c>
      <c r="K86" s="6"/>
      <c r="L86" s="6"/>
      <c r="M86" s="7">
        <f>SUM(K86:L86)</f>
        <v>0</v>
      </c>
      <c r="N86" s="6"/>
      <c r="O86" s="6"/>
      <c r="P86" s="7">
        <f>SUM(N86:O86)</f>
        <v>0</v>
      </c>
      <c r="Q86" s="6"/>
      <c r="R86" s="6"/>
      <c r="S86" s="7">
        <f>SUM(Q86:R86)</f>
        <v>0</v>
      </c>
      <c r="T86" s="7">
        <f t="shared" si="12"/>
        <v>0</v>
      </c>
      <c r="U86" s="7">
        <f t="shared" si="12"/>
        <v>0</v>
      </c>
      <c r="V86" s="7">
        <f t="shared" si="12"/>
        <v>0</v>
      </c>
    </row>
    <row r="87" spans="1:22" ht="18" customHeight="1" x14ac:dyDescent="0.25">
      <c r="A87" s="42"/>
      <c r="B87" s="42"/>
      <c r="C87" s="43"/>
      <c r="D87" s="9" t="s">
        <v>23</v>
      </c>
      <c r="E87" s="10">
        <f t="shared" ref="E87:S87" si="53">SUM(E83:E86)</f>
        <v>0</v>
      </c>
      <c r="F87" s="10">
        <f t="shared" si="53"/>
        <v>0</v>
      </c>
      <c r="G87" s="11">
        <f t="shared" si="53"/>
        <v>0</v>
      </c>
      <c r="H87" s="10">
        <f t="shared" si="53"/>
        <v>0</v>
      </c>
      <c r="I87" s="10">
        <f t="shared" si="53"/>
        <v>0</v>
      </c>
      <c r="J87" s="11">
        <f t="shared" si="53"/>
        <v>0</v>
      </c>
      <c r="K87" s="10">
        <f t="shared" si="53"/>
        <v>0</v>
      </c>
      <c r="L87" s="10">
        <f t="shared" si="53"/>
        <v>0</v>
      </c>
      <c r="M87" s="11">
        <f t="shared" si="53"/>
        <v>0</v>
      </c>
      <c r="N87" s="10">
        <f t="shared" si="53"/>
        <v>0</v>
      </c>
      <c r="O87" s="10">
        <f t="shared" si="53"/>
        <v>0</v>
      </c>
      <c r="P87" s="11">
        <f t="shared" si="53"/>
        <v>0</v>
      </c>
      <c r="Q87" s="10">
        <f t="shared" si="53"/>
        <v>0</v>
      </c>
      <c r="R87" s="10">
        <f t="shared" si="53"/>
        <v>0</v>
      </c>
      <c r="S87" s="11">
        <f t="shared" si="53"/>
        <v>0</v>
      </c>
      <c r="T87" s="12">
        <f t="shared" si="12"/>
        <v>0</v>
      </c>
      <c r="U87" s="12">
        <f t="shared" si="12"/>
        <v>0</v>
      </c>
      <c r="V87" s="12">
        <f t="shared" si="12"/>
        <v>0</v>
      </c>
    </row>
    <row r="88" spans="1:22" ht="18" customHeight="1" x14ac:dyDescent="0.25">
      <c r="A88" s="42"/>
      <c r="B88" s="42"/>
      <c r="C88" s="41" t="s">
        <v>94</v>
      </c>
      <c r="D88" s="5" t="s">
        <v>95</v>
      </c>
      <c r="E88" s="6"/>
      <c r="F88" s="6"/>
      <c r="G88" s="7">
        <f t="shared" ref="G88:G91" si="54">SUM(E88:F88)</f>
        <v>0</v>
      </c>
      <c r="H88" s="6"/>
      <c r="I88" s="6"/>
      <c r="J88" s="7">
        <f t="shared" ref="J88" si="55">SUM(H88:I88)</f>
        <v>0</v>
      </c>
      <c r="K88" s="6"/>
      <c r="L88" s="6"/>
      <c r="M88" s="7">
        <f t="shared" ref="M88" si="56">SUM(K88:L88)</f>
        <v>0</v>
      </c>
      <c r="N88" s="6"/>
      <c r="O88" s="6"/>
      <c r="P88" s="7">
        <f t="shared" ref="P88" si="57">SUM(N88:O88)</f>
        <v>0</v>
      </c>
      <c r="Q88" s="6"/>
      <c r="R88" s="6"/>
      <c r="S88" s="7">
        <f t="shared" ref="S88" si="58">SUM(Q88:R88)</f>
        <v>0</v>
      </c>
      <c r="T88" s="7">
        <f t="shared" si="12"/>
        <v>0</v>
      </c>
      <c r="U88" s="7">
        <f t="shared" si="12"/>
        <v>0</v>
      </c>
      <c r="V88" s="7">
        <f t="shared" si="12"/>
        <v>0</v>
      </c>
    </row>
    <row r="89" spans="1:22" ht="18" customHeight="1" x14ac:dyDescent="0.25">
      <c r="A89" s="42"/>
      <c r="B89" s="42"/>
      <c r="C89" s="42"/>
      <c r="D89" s="5" t="s">
        <v>96</v>
      </c>
      <c r="E89" s="6"/>
      <c r="F89" s="6"/>
      <c r="G89" s="7">
        <f>SUM(E89:F89)</f>
        <v>0</v>
      </c>
      <c r="H89" s="6"/>
      <c r="I89" s="6"/>
      <c r="J89" s="7">
        <f>SUM(H89:I89)</f>
        <v>0</v>
      </c>
      <c r="K89" s="6"/>
      <c r="L89" s="6"/>
      <c r="M89" s="7">
        <f>SUM(K89:L89)</f>
        <v>0</v>
      </c>
      <c r="N89" s="6"/>
      <c r="O89" s="6"/>
      <c r="P89" s="7">
        <f>SUM(N89:O89)</f>
        <v>0</v>
      </c>
      <c r="Q89" s="6"/>
      <c r="R89" s="6"/>
      <c r="S89" s="7">
        <f>SUM(Q89:R89)</f>
        <v>0</v>
      </c>
      <c r="T89" s="7">
        <f t="shared" ref="T89:V152" si="59">SUM(E89,H89,K89,N89,Q89)</f>
        <v>0</v>
      </c>
      <c r="U89" s="7">
        <f t="shared" si="59"/>
        <v>0</v>
      </c>
      <c r="V89" s="7">
        <f t="shared" si="59"/>
        <v>0</v>
      </c>
    </row>
    <row r="90" spans="1:22" ht="18" customHeight="1" x14ac:dyDescent="0.25">
      <c r="A90" s="42"/>
      <c r="B90" s="42"/>
      <c r="C90" s="42"/>
      <c r="D90" s="5" t="s">
        <v>97</v>
      </c>
      <c r="E90" s="6"/>
      <c r="F90" s="6"/>
      <c r="G90" s="7">
        <f t="shared" si="54"/>
        <v>0</v>
      </c>
      <c r="H90" s="6"/>
      <c r="I90" s="6"/>
      <c r="J90" s="7">
        <f t="shared" ref="J90:J91" si="60">SUM(H90:I90)</f>
        <v>0</v>
      </c>
      <c r="K90" s="6"/>
      <c r="L90" s="6"/>
      <c r="M90" s="7">
        <f t="shared" ref="M90:M91" si="61">SUM(K90:L90)</f>
        <v>0</v>
      </c>
      <c r="N90" s="6"/>
      <c r="O90" s="6"/>
      <c r="P90" s="7">
        <f t="shared" ref="P90:P91" si="62">SUM(N90:O90)</f>
        <v>0</v>
      </c>
      <c r="Q90" s="6"/>
      <c r="R90" s="6"/>
      <c r="S90" s="7">
        <f t="shared" ref="S90:S91" si="63">SUM(Q90:R90)</f>
        <v>0</v>
      </c>
      <c r="T90" s="7">
        <f t="shared" si="59"/>
        <v>0</v>
      </c>
      <c r="U90" s="7">
        <f t="shared" si="59"/>
        <v>0</v>
      </c>
      <c r="V90" s="7">
        <f t="shared" si="59"/>
        <v>0</v>
      </c>
    </row>
    <row r="91" spans="1:22" ht="18" customHeight="1" x14ac:dyDescent="0.25">
      <c r="A91" s="42"/>
      <c r="B91" s="42"/>
      <c r="C91" s="42"/>
      <c r="D91" s="5" t="s">
        <v>98</v>
      </c>
      <c r="E91" s="6"/>
      <c r="F91" s="6"/>
      <c r="G91" s="7">
        <f t="shared" si="54"/>
        <v>0</v>
      </c>
      <c r="H91" s="6"/>
      <c r="I91" s="6"/>
      <c r="J91" s="7">
        <f t="shared" si="60"/>
        <v>0</v>
      </c>
      <c r="K91" s="6"/>
      <c r="L91" s="6"/>
      <c r="M91" s="7">
        <f t="shared" si="61"/>
        <v>0</v>
      </c>
      <c r="N91" s="6"/>
      <c r="O91" s="6"/>
      <c r="P91" s="7">
        <f t="shared" si="62"/>
        <v>0</v>
      </c>
      <c r="Q91" s="6"/>
      <c r="R91" s="6"/>
      <c r="S91" s="7">
        <f t="shared" si="63"/>
        <v>0</v>
      </c>
      <c r="T91" s="7">
        <f t="shared" si="59"/>
        <v>0</v>
      </c>
      <c r="U91" s="7">
        <f t="shared" si="59"/>
        <v>0</v>
      </c>
      <c r="V91" s="7">
        <f t="shared" si="59"/>
        <v>0</v>
      </c>
    </row>
    <row r="92" spans="1:22" ht="18" customHeight="1" x14ac:dyDescent="0.25">
      <c r="A92" s="42"/>
      <c r="B92" s="42"/>
      <c r="C92" s="42"/>
      <c r="D92" s="5" t="s">
        <v>99</v>
      </c>
      <c r="E92" s="6"/>
      <c r="F92" s="6"/>
      <c r="G92" s="7">
        <f>SUM(E92:F92)</f>
        <v>0</v>
      </c>
      <c r="H92" s="6"/>
      <c r="I92" s="6"/>
      <c r="J92" s="7">
        <f>SUM(H92:I92)</f>
        <v>0</v>
      </c>
      <c r="K92" s="6"/>
      <c r="L92" s="6"/>
      <c r="M92" s="7">
        <f>SUM(K92:L92)</f>
        <v>0</v>
      </c>
      <c r="N92" s="6"/>
      <c r="O92" s="6"/>
      <c r="P92" s="7">
        <f>SUM(N92:O92)</f>
        <v>0</v>
      </c>
      <c r="Q92" s="6"/>
      <c r="R92" s="6"/>
      <c r="S92" s="7">
        <f>SUM(Q92:R92)</f>
        <v>0</v>
      </c>
      <c r="T92" s="7">
        <f t="shared" si="59"/>
        <v>0</v>
      </c>
      <c r="U92" s="7">
        <f t="shared" si="59"/>
        <v>0</v>
      </c>
      <c r="V92" s="7">
        <f t="shared" si="59"/>
        <v>0</v>
      </c>
    </row>
    <row r="93" spans="1:22" ht="18" customHeight="1" x14ac:dyDescent="0.25">
      <c r="A93" s="42"/>
      <c r="B93" s="42"/>
      <c r="C93" s="42"/>
      <c r="D93" s="8"/>
      <c r="E93" s="7"/>
      <c r="F93" s="7"/>
      <c r="G93" s="7">
        <f>SUM(E93:F93)</f>
        <v>0</v>
      </c>
      <c r="H93" s="6"/>
      <c r="I93" s="6"/>
      <c r="J93" s="7">
        <f>SUM(H93:I93)</f>
        <v>0</v>
      </c>
      <c r="K93" s="6"/>
      <c r="L93" s="6"/>
      <c r="M93" s="7">
        <f>SUM(K93:L93)</f>
        <v>0</v>
      </c>
      <c r="N93" s="6"/>
      <c r="O93" s="6"/>
      <c r="P93" s="7">
        <f>SUM(N93:O93)</f>
        <v>0</v>
      </c>
      <c r="Q93" s="6"/>
      <c r="R93" s="6"/>
      <c r="S93" s="7">
        <f>SUM(Q93:R93)</f>
        <v>0</v>
      </c>
      <c r="T93" s="7">
        <f t="shared" si="59"/>
        <v>0</v>
      </c>
      <c r="U93" s="7">
        <f t="shared" si="59"/>
        <v>0</v>
      </c>
      <c r="V93" s="7">
        <f t="shared" si="59"/>
        <v>0</v>
      </c>
    </row>
    <row r="94" spans="1:22" ht="18" customHeight="1" x14ac:dyDescent="0.25">
      <c r="A94" s="42"/>
      <c r="B94" s="42"/>
      <c r="C94" s="43"/>
      <c r="D94" s="9" t="s">
        <v>23</v>
      </c>
      <c r="E94" s="10">
        <f t="shared" ref="E94:S94" si="64">SUM(E88:E93)</f>
        <v>0</v>
      </c>
      <c r="F94" s="10">
        <f t="shared" si="64"/>
        <v>0</v>
      </c>
      <c r="G94" s="11">
        <f t="shared" si="64"/>
        <v>0</v>
      </c>
      <c r="H94" s="10">
        <f t="shared" si="64"/>
        <v>0</v>
      </c>
      <c r="I94" s="10">
        <f t="shared" si="64"/>
        <v>0</v>
      </c>
      <c r="J94" s="11">
        <f t="shared" si="64"/>
        <v>0</v>
      </c>
      <c r="K94" s="10">
        <f t="shared" si="64"/>
        <v>0</v>
      </c>
      <c r="L94" s="10">
        <f t="shared" si="64"/>
        <v>0</v>
      </c>
      <c r="M94" s="11">
        <f t="shared" si="64"/>
        <v>0</v>
      </c>
      <c r="N94" s="10">
        <f t="shared" si="64"/>
        <v>0</v>
      </c>
      <c r="O94" s="10">
        <f t="shared" si="64"/>
        <v>0</v>
      </c>
      <c r="P94" s="11">
        <f t="shared" si="64"/>
        <v>0</v>
      </c>
      <c r="Q94" s="10">
        <f t="shared" si="64"/>
        <v>0</v>
      </c>
      <c r="R94" s="10">
        <f t="shared" si="64"/>
        <v>0</v>
      </c>
      <c r="S94" s="11">
        <f t="shared" si="64"/>
        <v>0</v>
      </c>
      <c r="T94" s="12">
        <f t="shared" si="59"/>
        <v>0</v>
      </c>
      <c r="U94" s="12">
        <f t="shared" si="59"/>
        <v>0</v>
      </c>
      <c r="V94" s="12">
        <f t="shared" si="59"/>
        <v>0</v>
      </c>
    </row>
    <row r="95" spans="1:22" ht="18" customHeight="1" x14ac:dyDescent="0.25">
      <c r="A95" s="42"/>
      <c r="B95" s="42"/>
      <c r="C95" s="41" t="s">
        <v>100</v>
      </c>
      <c r="D95" s="5" t="s">
        <v>101</v>
      </c>
      <c r="E95" s="6"/>
      <c r="F95" s="6"/>
      <c r="G95" s="15">
        <f>SUM(E95:F95)</f>
        <v>0</v>
      </c>
      <c r="H95" s="6"/>
      <c r="I95" s="6"/>
      <c r="J95" s="15">
        <f>SUM(H95:I95)</f>
        <v>0</v>
      </c>
      <c r="K95" s="6"/>
      <c r="L95" s="6"/>
      <c r="M95" s="15">
        <f>SUM(K95:L95)</f>
        <v>0</v>
      </c>
      <c r="N95" s="6"/>
      <c r="O95" s="6"/>
      <c r="P95" s="15">
        <f>SUM(N95:O95)</f>
        <v>0</v>
      </c>
      <c r="Q95" s="6"/>
      <c r="R95" s="6"/>
      <c r="S95" s="15">
        <f>SUM(Q95:R95)</f>
        <v>0</v>
      </c>
      <c r="T95" s="7">
        <f t="shared" si="59"/>
        <v>0</v>
      </c>
      <c r="U95" s="7">
        <f t="shared" si="59"/>
        <v>0</v>
      </c>
      <c r="V95" s="7">
        <f t="shared" si="59"/>
        <v>0</v>
      </c>
    </row>
    <row r="96" spans="1:22" ht="18" customHeight="1" x14ac:dyDescent="0.25">
      <c r="A96" s="42"/>
      <c r="B96" s="42"/>
      <c r="C96" s="42"/>
      <c r="D96" s="5" t="s">
        <v>102</v>
      </c>
      <c r="E96" s="6"/>
      <c r="F96" s="6"/>
      <c r="G96" s="15">
        <f>SUM(E96:F96)</f>
        <v>0</v>
      </c>
      <c r="H96" s="6"/>
      <c r="I96" s="6"/>
      <c r="J96" s="15">
        <f>SUM(H96:I96)</f>
        <v>0</v>
      </c>
      <c r="K96" s="6"/>
      <c r="L96" s="6"/>
      <c r="M96" s="15">
        <f>SUM(K96:L96)</f>
        <v>0</v>
      </c>
      <c r="N96" s="6"/>
      <c r="O96" s="6"/>
      <c r="P96" s="15">
        <f>SUM(N96:O96)</f>
        <v>0</v>
      </c>
      <c r="Q96" s="6"/>
      <c r="R96" s="6"/>
      <c r="S96" s="15">
        <f>SUM(Q96:R96)</f>
        <v>0</v>
      </c>
      <c r="T96" s="7">
        <f t="shared" si="59"/>
        <v>0</v>
      </c>
      <c r="U96" s="7">
        <f t="shared" si="59"/>
        <v>0</v>
      </c>
      <c r="V96" s="7">
        <f t="shared" si="59"/>
        <v>0</v>
      </c>
    </row>
    <row r="97" spans="1:22" ht="18" customHeight="1" x14ac:dyDescent="0.25">
      <c r="A97" s="42"/>
      <c r="B97" s="42"/>
      <c r="C97" s="42"/>
      <c r="D97" s="5" t="s">
        <v>103</v>
      </c>
      <c r="E97" s="6"/>
      <c r="F97" s="6"/>
      <c r="G97" s="15">
        <f>SUM(E97:F97)</f>
        <v>0</v>
      </c>
      <c r="H97" s="6"/>
      <c r="I97" s="6"/>
      <c r="J97" s="15">
        <f>SUM(H97:I97)</f>
        <v>0</v>
      </c>
      <c r="K97" s="6"/>
      <c r="L97" s="6"/>
      <c r="M97" s="15">
        <f>SUM(K97:L97)</f>
        <v>0</v>
      </c>
      <c r="N97" s="6"/>
      <c r="O97" s="6"/>
      <c r="P97" s="15">
        <f>SUM(N97:O97)</f>
        <v>0</v>
      </c>
      <c r="Q97" s="6"/>
      <c r="R97" s="6"/>
      <c r="S97" s="15">
        <f>SUM(Q97:R97)</f>
        <v>0</v>
      </c>
      <c r="T97" s="7">
        <f t="shared" si="59"/>
        <v>0</v>
      </c>
      <c r="U97" s="7">
        <f t="shared" si="59"/>
        <v>0</v>
      </c>
      <c r="V97" s="7">
        <f t="shared" si="59"/>
        <v>0</v>
      </c>
    </row>
    <row r="98" spans="1:22" ht="18" customHeight="1" x14ac:dyDescent="0.25">
      <c r="A98" s="42"/>
      <c r="B98" s="42"/>
      <c r="C98" s="43"/>
      <c r="D98" s="9" t="s">
        <v>23</v>
      </c>
      <c r="E98" s="10">
        <f t="shared" ref="E98:S98" si="65">SUM(E95:E97)</f>
        <v>0</v>
      </c>
      <c r="F98" s="10">
        <f t="shared" si="65"/>
        <v>0</v>
      </c>
      <c r="G98" s="10">
        <f t="shared" si="65"/>
        <v>0</v>
      </c>
      <c r="H98" s="10">
        <f t="shared" si="65"/>
        <v>0</v>
      </c>
      <c r="I98" s="10">
        <f t="shared" si="65"/>
        <v>0</v>
      </c>
      <c r="J98" s="10">
        <f t="shared" si="65"/>
        <v>0</v>
      </c>
      <c r="K98" s="10">
        <f t="shared" si="65"/>
        <v>0</v>
      </c>
      <c r="L98" s="10">
        <f t="shared" si="65"/>
        <v>0</v>
      </c>
      <c r="M98" s="10">
        <f t="shared" si="65"/>
        <v>0</v>
      </c>
      <c r="N98" s="10">
        <f t="shared" si="65"/>
        <v>0</v>
      </c>
      <c r="O98" s="10">
        <f t="shared" si="65"/>
        <v>0</v>
      </c>
      <c r="P98" s="10">
        <f t="shared" si="65"/>
        <v>0</v>
      </c>
      <c r="Q98" s="10">
        <f t="shared" si="65"/>
        <v>0</v>
      </c>
      <c r="R98" s="10">
        <f t="shared" si="65"/>
        <v>0</v>
      </c>
      <c r="S98" s="10">
        <f t="shared" si="65"/>
        <v>0</v>
      </c>
      <c r="T98" s="12">
        <f t="shared" si="59"/>
        <v>0</v>
      </c>
      <c r="U98" s="12">
        <f t="shared" si="59"/>
        <v>0</v>
      </c>
      <c r="V98" s="12">
        <f t="shared" si="59"/>
        <v>0</v>
      </c>
    </row>
    <row r="99" spans="1:22" ht="18" customHeight="1" x14ac:dyDescent="0.25">
      <c r="A99" s="42"/>
      <c r="B99" s="42"/>
      <c r="C99" s="41" t="s">
        <v>104</v>
      </c>
      <c r="D99" s="5" t="s">
        <v>105</v>
      </c>
      <c r="E99" s="6"/>
      <c r="F99" s="6"/>
      <c r="G99" s="15">
        <f t="shared" ref="G99:G103" si="66">SUM(E99:F99)</f>
        <v>0</v>
      </c>
      <c r="H99" s="6"/>
      <c r="I99" s="6"/>
      <c r="J99" s="15">
        <f t="shared" ref="J99:J100" si="67">SUM(H99:I99)</f>
        <v>0</v>
      </c>
      <c r="K99" s="6"/>
      <c r="L99" s="6"/>
      <c r="M99" s="15">
        <f t="shared" ref="M99:M100" si="68">SUM(K99:L99)</f>
        <v>0</v>
      </c>
      <c r="N99" s="6"/>
      <c r="O99" s="6"/>
      <c r="P99" s="15">
        <f t="shared" ref="P99:P100" si="69">SUM(N99:O99)</f>
        <v>0</v>
      </c>
      <c r="Q99" s="6"/>
      <c r="R99" s="6"/>
      <c r="S99" s="15">
        <f t="shared" ref="S99:S100" si="70">SUM(Q99:R99)</f>
        <v>0</v>
      </c>
      <c r="T99" s="7">
        <f t="shared" si="59"/>
        <v>0</v>
      </c>
      <c r="U99" s="7">
        <f t="shared" si="59"/>
        <v>0</v>
      </c>
      <c r="V99" s="7">
        <f t="shared" si="59"/>
        <v>0</v>
      </c>
    </row>
    <row r="100" spans="1:22" ht="18" customHeight="1" x14ac:dyDescent="0.25">
      <c r="A100" s="42"/>
      <c r="B100" s="42"/>
      <c r="C100" s="42"/>
      <c r="D100" s="5" t="s">
        <v>106</v>
      </c>
      <c r="E100" s="6"/>
      <c r="F100" s="6"/>
      <c r="G100" s="15">
        <f t="shared" si="66"/>
        <v>0</v>
      </c>
      <c r="H100" s="6"/>
      <c r="I100" s="6"/>
      <c r="J100" s="15">
        <f t="shared" si="67"/>
        <v>0</v>
      </c>
      <c r="K100" s="6"/>
      <c r="L100" s="6"/>
      <c r="M100" s="15">
        <f t="shared" si="68"/>
        <v>0</v>
      </c>
      <c r="N100" s="6"/>
      <c r="O100" s="6"/>
      <c r="P100" s="15">
        <f t="shared" si="69"/>
        <v>0</v>
      </c>
      <c r="Q100" s="6"/>
      <c r="R100" s="6"/>
      <c r="S100" s="15">
        <f t="shared" si="70"/>
        <v>0</v>
      </c>
      <c r="T100" s="7">
        <f t="shared" si="59"/>
        <v>0</v>
      </c>
      <c r="U100" s="7">
        <f t="shared" si="59"/>
        <v>0</v>
      </c>
      <c r="V100" s="7">
        <f t="shared" si="59"/>
        <v>0</v>
      </c>
    </row>
    <row r="101" spans="1:22" ht="18" customHeight="1" x14ac:dyDescent="0.25">
      <c r="A101" s="42"/>
      <c r="B101" s="42"/>
      <c r="C101" s="42"/>
      <c r="D101" s="5" t="s">
        <v>107</v>
      </c>
      <c r="E101" s="6"/>
      <c r="F101" s="6"/>
      <c r="G101" s="15">
        <f>SUM(E101:F101)</f>
        <v>0</v>
      </c>
      <c r="H101" s="6"/>
      <c r="I101" s="6"/>
      <c r="J101" s="15">
        <f>SUM(H101:I101)</f>
        <v>0</v>
      </c>
      <c r="K101" s="6"/>
      <c r="L101" s="6"/>
      <c r="M101" s="15">
        <f>SUM(K101:L101)</f>
        <v>0</v>
      </c>
      <c r="N101" s="6"/>
      <c r="O101" s="6"/>
      <c r="P101" s="15">
        <f>SUM(N101:O101)</f>
        <v>0</v>
      </c>
      <c r="Q101" s="6"/>
      <c r="R101" s="6"/>
      <c r="S101" s="15">
        <f>SUM(Q101:R101)</f>
        <v>0</v>
      </c>
      <c r="T101" s="7">
        <f t="shared" si="59"/>
        <v>0</v>
      </c>
      <c r="U101" s="7">
        <f t="shared" si="59"/>
        <v>0</v>
      </c>
      <c r="V101" s="7">
        <f t="shared" si="59"/>
        <v>0</v>
      </c>
    </row>
    <row r="102" spans="1:22" ht="18" customHeight="1" x14ac:dyDescent="0.25">
      <c r="A102" s="42"/>
      <c r="B102" s="42"/>
      <c r="C102" s="42"/>
      <c r="D102" s="5" t="s">
        <v>108</v>
      </c>
      <c r="E102" s="6"/>
      <c r="F102" s="6"/>
      <c r="G102" s="15">
        <f t="shared" si="66"/>
        <v>0</v>
      </c>
      <c r="H102" s="6"/>
      <c r="I102" s="6"/>
      <c r="J102" s="15">
        <f t="shared" ref="J102:J103" si="71">SUM(H102:I102)</f>
        <v>0</v>
      </c>
      <c r="K102" s="6"/>
      <c r="L102" s="6"/>
      <c r="M102" s="15">
        <f t="shared" ref="M102:M103" si="72">SUM(K102:L102)</f>
        <v>0</v>
      </c>
      <c r="N102" s="6"/>
      <c r="O102" s="6"/>
      <c r="P102" s="15">
        <f t="shared" ref="P102:P103" si="73">SUM(N102:O102)</f>
        <v>0</v>
      </c>
      <c r="Q102" s="6"/>
      <c r="R102" s="6"/>
      <c r="S102" s="15">
        <f t="shared" ref="S102:S103" si="74">SUM(Q102:R102)</f>
        <v>0</v>
      </c>
      <c r="T102" s="7">
        <f t="shared" si="59"/>
        <v>0</v>
      </c>
      <c r="U102" s="7">
        <f t="shared" si="59"/>
        <v>0</v>
      </c>
      <c r="V102" s="7">
        <f t="shared" si="59"/>
        <v>0</v>
      </c>
    </row>
    <row r="103" spans="1:22" ht="18" customHeight="1" x14ac:dyDescent="0.25">
      <c r="A103" s="42"/>
      <c r="B103" s="42"/>
      <c r="C103" s="42"/>
      <c r="D103" s="5" t="s">
        <v>109</v>
      </c>
      <c r="E103" s="6"/>
      <c r="F103" s="6"/>
      <c r="G103" s="15">
        <f t="shared" si="66"/>
        <v>0</v>
      </c>
      <c r="H103" s="6"/>
      <c r="I103" s="6"/>
      <c r="J103" s="15">
        <f t="shared" si="71"/>
        <v>0</v>
      </c>
      <c r="K103" s="6"/>
      <c r="L103" s="6"/>
      <c r="M103" s="15">
        <f t="shared" si="72"/>
        <v>0</v>
      </c>
      <c r="N103" s="6"/>
      <c r="O103" s="6"/>
      <c r="P103" s="15">
        <f t="shared" si="73"/>
        <v>0</v>
      </c>
      <c r="Q103" s="6"/>
      <c r="R103" s="6"/>
      <c r="S103" s="15">
        <f t="shared" si="74"/>
        <v>0</v>
      </c>
      <c r="T103" s="7">
        <f t="shared" si="59"/>
        <v>0</v>
      </c>
      <c r="U103" s="7">
        <f t="shared" si="59"/>
        <v>0</v>
      </c>
      <c r="V103" s="7">
        <f t="shared" si="59"/>
        <v>0</v>
      </c>
    </row>
    <row r="104" spans="1:22" ht="18" customHeight="1" x14ac:dyDescent="0.25">
      <c r="A104" s="42"/>
      <c r="B104" s="42"/>
      <c r="C104" s="42"/>
      <c r="D104" s="5" t="s">
        <v>110</v>
      </c>
      <c r="E104" s="6"/>
      <c r="F104" s="6"/>
      <c r="G104" s="15">
        <f>SUM(E104:F104)</f>
        <v>0</v>
      </c>
      <c r="H104" s="6"/>
      <c r="I104" s="6"/>
      <c r="J104" s="15">
        <f>SUM(H104:I104)</f>
        <v>0</v>
      </c>
      <c r="K104" s="6"/>
      <c r="L104" s="6"/>
      <c r="M104" s="15">
        <f>SUM(K104:L104)</f>
        <v>0</v>
      </c>
      <c r="N104" s="6"/>
      <c r="O104" s="6"/>
      <c r="P104" s="15">
        <f>SUM(N104:O104)</f>
        <v>0</v>
      </c>
      <c r="Q104" s="6"/>
      <c r="R104" s="6"/>
      <c r="S104" s="15">
        <f>SUM(Q104:R104)</f>
        <v>0</v>
      </c>
      <c r="T104" s="7">
        <f t="shared" si="59"/>
        <v>0</v>
      </c>
      <c r="U104" s="7">
        <f t="shared" si="59"/>
        <v>0</v>
      </c>
      <c r="V104" s="7">
        <f t="shared" si="59"/>
        <v>0</v>
      </c>
    </row>
    <row r="105" spans="1:22" ht="18" customHeight="1" x14ac:dyDescent="0.25">
      <c r="A105" s="42"/>
      <c r="B105" s="42"/>
      <c r="C105" s="42"/>
      <c r="D105" s="8"/>
      <c r="E105" s="6"/>
      <c r="F105" s="15"/>
      <c r="G105" s="15">
        <f>SUM(E105:F105)</f>
        <v>0</v>
      </c>
      <c r="H105" s="6"/>
      <c r="I105" s="15"/>
      <c r="J105" s="15">
        <f>SUM(H105:I105)</f>
        <v>0</v>
      </c>
      <c r="K105" s="6"/>
      <c r="L105" s="15"/>
      <c r="M105" s="15">
        <f>SUM(K105:L105)</f>
        <v>0</v>
      </c>
      <c r="N105" s="6"/>
      <c r="O105" s="15"/>
      <c r="P105" s="15">
        <f>SUM(N105:O105)</f>
        <v>0</v>
      </c>
      <c r="Q105" s="6"/>
      <c r="R105" s="15"/>
      <c r="S105" s="15">
        <f>SUM(Q105:R105)</f>
        <v>0</v>
      </c>
      <c r="T105" s="7">
        <f t="shared" si="59"/>
        <v>0</v>
      </c>
      <c r="U105" s="7">
        <f t="shared" si="59"/>
        <v>0</v>
      </c>
      <c r="V105" s="7">
        <f t="shared" si="59"/>
        <v>0</v>
      </c>
    </row>
    <row r="106" spans="1:22" ht="18" customHeight="1" x14ac:dyDescent="0.25">
      <c r="A106" s="42"/>
      <c r="B106" s="42"/>
      <c r="C106" s="43"/>
      <c r="D106" s="9" t="s">
        <v>23</v>
      </c>
      <c r="E106" s="10">
        <f t="shared" ref="E106:S106" si="75">SUM(E99:E105)</f>
        <v>0</v>
      </c>
      <c r="F106" s="10">
        <f t="shared" si="75"/>
        <v>0</v>
      </c>
      <c r="G106" s="10">
        <f t="shared" si="75"/>
        <v>0</v>
      </c>
      <c r="H106" s="10">
        <f t="shared" si="75"/>
        <v>0</v>
      </c>
      <c r="I106" s="10">
        <f t="shared" si="75"/>
        <v>0</v>
      </c>
      <c r="J106" s="10">
        <f t="shared" si="75"/>
        <v>0</v>
      </c>
      <c r="K106" s="10">
        <f t="shared" si="75"/>
        <v>0</v>
      </c>
      <c r="L106" s="10">
        <f t="shared" si="75"/>
        <v>0</v>
      </c>
      <c r="M106" s="10">
        <f t="shared" si="75"/>
        <v>0</v>
      </c>
      <c r="N106" s="10">
        <f t="shared" si="75"/>
        <v>0</v>
      </c>
      <c r="O106" s="10">
        <f t="shared" si="75"/>
        <v>0</v>
      </c>
      <c r="P106" s="10">
        <f t="shared" si="75"/>
        <v>0</v>
      </c>
      <c r="Q106" s="10">
        <f t="shared" si="75"/>
        <v>0</v>
      </c>
      <c r="R106" s="10">
        <f t="shared" si="75"/>
        <v>0</v>
      </c>
      <c r="S106" s="10">
        <f t="shared" si="75"/>
        <v>0</v>
      </c>
      <c r="T106" s="12">
        <f t="shared" si="59"/>
        <v>0</v>
      </c>
      <c r="U106" s="12">
        <f t="shared" si="59"/>
        <v>0</v>
      </c>
      <c r="V106" s="12">
        <f t="shared" si="59"/>
        <v>0</v>
      </c>
    </row>
    <row r="107" spans="1:22" ht="18" customHeight="1" x14ac:dyDescent="0.25">
      <c r="A107" s="42"/>
      <c r="B107" s="43"/>
      <c r="C107" s="39" t="s">
        <v>33</v>
      </c>
      <c r="D107" s="40"/>
      <c r="E107" s="13">
        <f t="shared" ref="E107:S107" si="76">SUM(E76,E78,E82,E87,E94,E98,E106)</f>
        <v>0</v>
      </c>
      <c r="F107" s="13">
        <f t="shared" si="76"/>
        <v>0</v>
      </c>
      <c r="G107" s="13">
        <f t="shared" si="76"/>
        <v>0</v>
      </c>
      <c r="H107" s="13">
        <f t="shared" si="76"/>
        <v>0</v>
      </c>
      <c r="I107" s="13">
        <f t="shared" si="76"/>
        <v>0</v>
      </c>
      <c r="J107" s="13">
        <f t="shared" si="76"/>
        <v>0</v>
      </c>
      <c r="K107" s="13">
        <f t="shared" si="76"/>
        <v>0</v>
      </c>
      <c r="L107" s="13">
        <f t="shared" si="76"/>
        <v>0</v>
      </c>
      <c r="M107" s="13">
        <f t="shared" si="76"/>
        <v>0</v>
      </c>
      <c r="N107" s="13">
        <f t="shared" si="76"/>
        <v>0</v>
      </c>
      <c r="O107" s="13">
        <f t="shared" si="76"/>
        <v>0</v>
      </c>
      <c r="P107" s="13">
        <f t="shared" si="76"/>
        <v>0</v>
      </c>
      <c r="Q107" s="13">
        <f t="shared" si="76"/>
        <v>0</v>
      </c>
      <c r="R107" s="13">
        <f t="shared" si="76"/>
        <v>0</v>
      </c>
      <c r="S107" s="13">
        <f t="shared" si="76"/>
        <v>0</v>
      </c>
      <c r="T107" s="7">
        <f t="shared" si="59"/>
        <v>0</v>
      </c>
      <c r="U107" s="7">
        <f t="shared" si="59"/>
        <v>0</v>
      </c>
      <c r="V107" s="7">
        <f t="shared" si="59"/>
        <v>0</v>
      </c>
    </row>
    <row r="108" spans="1:22" ht="18" customHeight="1" x14ac:dyDescent="0.25">
      <c r="A108" s="42"/>
      <c r="B108" s="41" t="s">
        <v>111</v>
      </c>
      <c r="C108" s="41" t="s">
        <v>112</v>
      </c>
      <c r="D108" s="5" t="s">
        <v>113</v>
      </c>
      <c r="E108" s="6">
        <v>4</v>
      </c>
      <c r="F108" s="6">
        <v>0</v>
      </c>
      <c r="G108" s="15">
        <f t="shared" ref="G108:G113" si="77">SUM(E108:F108)</f>
        <v>4</v>
      </c>
      <c r="H108" s="6"/>
      <c r="I108" s="6"/>
      <c r="J108" s="15">
        <f t="shared" ref="J108:J113" si="78">SUM(H108:I108)</f>
        <v>0</v>
      </c>
      <c r="K108" s="6"/>
      <c r="L108" s="6"/>
      <c r="M108" s="15">
        <f t="shared" ref="M108:M113" si="79">SUM(K108:L108)</f>
        <v>0</v>
      </c>
      <c r="N108" s="6"/>
      <c r="O108" s="6"/>
      <c r="P108" s="15">
        <f t="shared" ref="P108:P113" si="80">SUM(N108:O108)</f>
        <v>0</v>
      </c>
      <c r="Q108" s="6"/>
      <c r="R108" s="6"/>
      <c r="S108" s="15">
        <f t="shared" ref="S108:S113" si="81">SUM(Q108:R108)</f>
        <v>0</v>
      </c>
      <c r="T108" s="7">
        <f t="shared" si="59"/>
        <v>4</v>
      </c>
      <c r="U108" s="7">
        <f t="shared" si="59"/>
        <v>0</v>
      </c>
      <c r="V108" s="7">
        <f t="shared" si="59"/>
        <v>4</v>
      </c>
    </row>
    <row r="109" spans="1:22" ht="18" customHeight="1" x14ac:dyDescent="0.25">
      <c r="A109" s="42"/>
      <c r="B109" s="42"/>
      <c r="C109" s="42"/>
      <c r="D109" s="5" t="s">
        <v>114</v>
      </c>
      <c r="E109" s="6"/>
      <c r="F109" s="6"/>
      <c r="G109" s="15">
        <f t="shared" si="77"/>
        <v>0</v>
      </c>
      <c r="H109" s="6"/>
      <c r="I109" s="6"/>
      <c r="J109" s="15">
        <f t="shared" si="78"/>
        <v>0</v>
      </c>
      <c r="K109" s="6"/>
      <c r="L109" s="6"/>
      <c r="M109" s="15">
        <f t="shared" si="79"/>
        <v>0</v>
      </c>
      <c r="N109" s="6"/>
      <c r="O109" s="6"/>
      <c r="P109" s="15">
        <f t="shared" si="80"/>
        <v>0</v>
      </c>
      <c r="Q109" s="6"/>
      <c r="R109" s="6"/>
      <c r="S109" s="15">
        <f t="shared" si="81"/>
        <v>0</v>
      </c>
      <c r="T109" s="7">
        <f t="shared" si="59"/>
        <v>0</v>
      </c>
      <c r="U109" s="7">
        <f t="shared" si="59"/>
        <v>0</v>
      </c>
      <c r="V109" s="7">
        <f t="shared" si="59"/>
        <v>0</v>
      </c>
    </row>
    <row r="110" spans="1:22" ht="18" customHeight="1" x14ac:dyDescent="0.25">
      <c r="A110" s="42"/>
      <c r="B110" s="42"/>
      <c r="C110" s="42"/>
      <c r="D110" s="5" t="s">
        <v>115</v>
      </c>
      <c r="E110" s="6">
        <v>3</v>
      </c>
      <c r="F110" s="6">
        <v>0</v>
      </c>
      <c r="G110" s="15">
        <f t="shared" si="77"/>
        <v>3</v>
      </c>
      <c r="H110" s="6"/>
      <c r="I110" s="6"/>
      <c r="J110" s="15">
        <f t="shared" si="78"/>
        <v>0</v>
      </c>
      <c r="K110" s="6"/>
      <c r="L110" s="6"/>
      <c r="M110" s="15">
        <f t="shared" si="79"/>
        <v>0</v>
      </c>
      <c r="N110" s="6"/>
      <c r="O110" s="6"/>
      <c r="P110" s="15">
        <f t="shared" si="80"/>
        <v>0</v>
      </c>
      <c r="Q110" s="6"/>
      <c r="R110" s="6"/>
      <c r="S110" s="15">
        <f t="shared" si="81"/>
        <v>0</v>
      </c>
      <c r="T110" s="7">
        <f t="shared" si="59"/>
        <v>3</v>
      </c>
      <c r="U110" s="7">
        <f t="shared" si="59"/>
        <v>0</v>
      </c>
      <c r="V110" s="7">
        <f t="shared" si="59"/>
        <v>3</v>
      </c>
    </row>
    <row r="111" spans="1:22" ht="18" customHeight="1" x14ac:dyDescent="0.25">
      <c r="A111" s="42"/>
      <c r="B111" s="42"/>
      <c r="C111" s="42"/>
      <c r="D111" s="5" t="s">
        <v>116</v>
      </c>
      <c r="E111" s="6">
        <v>2</v>
      </c>
      <c r="F111" s="6">
        <v>3</v>
      </c>
      <c r="G111" s="15">
        <f t="shared" si="77"/>
        <v>5</v>
      </c>
      <c r="H111" s="6"/>
      <c r="I111" s="6"/>
      <c r="J111" s="15">
        <f t="shared" si="78"/>
        <v>0</v>
      </c>
      <c r="K111" s="6"/>
      <c r="L111" s="6"/>
      <c r="M111" s="15">
        <f t="shared" si="79"/>
        <v>0</v>
      </c>
      <c r="N111" s="6"/>
      <c r="O111" s="6"/>
      <c r="P111" s="15">
        <f t="shared" si="80"/>
        <v>0</v>
      </c>
      <c r="Q111" s="6"/>
      <c r="R111" s="6"/>
      <c r="S111" s="15">
        <f t="shared" si="81"/>
        <v>0</v>
      </c>
      <c r="T111" s="7">
        <f t="shared" si="59"/>
        <v>2</v>
      </c>
      <c r="U111" s="7">
        <f t="shared" si="59"/>
        <v>3</v>
      </c>
      <c r="V111" s="7">
        <f t="shared" si="59"/>
        <v>5</v>
      </c>
    </row>
    <row r="112" spans="1:22" ht="18" customHeight="1" x14ac:dyDescent="0.25">
      <c r="A112" s="42"/>
      <c r="B112" s="42"/>
      <c r="C112" s="42"/>
      <c r="D112" s="5" t="s">
        <v>117</v>
      </c>
      <c r="E112" s="6">
        <v>5</v>
      </c>
      <c r="F112" s="6">
        <v>2</v>
      </c>
      <c r="G112" s="15">
        <f t="shared" si="77"/>
        <v>7</v>
      </c>
      <c r="H112" s="6"/>
      <c r="I112" s="6"/>
      <c r="J112" s="15">
        <f t="shared" si="78"/>
        <v>0</v>
      </c>
      <c r="K112" s="6"/>
      <c r="L112" s="6"/>
      <c r="M112" s="15">
        <f t="shared" si="79"/>
        <v>0</v>
      </c>
      <c r="N112" s="6"/>
      <c r="O112" s="6"/>
      <c r="P112" s="15">
        <f t="shared" si="80"/>
        <v>0</v>
      </c>
      <c r="Q112" s="6"/>
      <c r="R112" s="6"/>
      <c r="S112" s="15">
        <f t="shared" si="81"/>
        <v>0</v>
      </c>
      <c r="T112" s="7">
        <f t="shared" si="59"/>
        <v>5</v>
      </c>
      <c r="U112" s="7">
        <f t="shared" si="59"/>
        <v>2</v>
      </c>
      <c r="V112" s="7">
        <f t="shared" si="59"/>
        <v>7</v>
      </c>
    </row>
    <row r="113" spans="1:22" ht="18" customHeight="1" x14ac:dyDescent="0.25">
      <c r="A113" s="42"/>
      <c r="B113" s="42"/>
      <c r="C113" s="42"/>
      <c r="D113" s="5" t="s">
        <v>118</v>
      </c>
      <c r="E113" s="6"/>
      <c r="F113" s="6"/>
      <c r="G113" s="15">
        <f t="shared" si="77"/>
        <v>0</v>
      </c>
      <c r="H113" s="6"/>
      <c r="I113" s="6"/>
      <c r="J113" s="15">
        <f t="shared" si="78"/>
        <v>0</v>
      </c>
      <c r="K113" s="6"/>
      <c r="L113" s="6"/>
      <c r="M113" s="15">
        <f t="shared" si="79"/>
        <v>0</v>
      </c>
      <c r="N113" s="6"/>
      <c r="O113" s="6"/>
      <c r="P113" s="15">
        <f t="shared" si="80"/>
        <v>0</v>
      </c>
      <c r="Q113" s="6"/>
      <c r="R113" s="6"/>
      <c r="S113" s="15">
        <f t="shared" si="81"/>
        <v>0</v>
      </c>
      <c r="T113" s="7">
        <f t="shared" si="59"/>
        <v>0</v>
      </c>
      <c r="U113" s="7">
        <f t="shared" si="59"/>
        <v>0</v>
      </c>
      <c r="V113" s="7">
        <f t="shared" si="59"/>
        <v>0</v>
      </c>
    </row>
    <row r="114" spans="1:22" ht="18" customHeight="1" x14ac:dyDescent="0.25">
      <c r="A114" s="42"/>
      <c r="B114" s="42"/>
      <c r="C114" s="43"/>
      <c r="D114" s="9" t="s">
        <v>23</v>
      </c>
      <c r="E114" s="10">
        <f t="shared" ref="E114:S114" si="82">SUM(E108:E113)</f>
        <v>14</v>
      </c>
      <c r="F114" s="10">
        <f t="shared" si="82"/>
        <v>5</v>
      </c>
      <c r="G114" s="10">
        <f t="shared" si="82"/>
        <v>19</v>
      </c>
      <c r="H114" s="10">
        <f t="shared" si="82"/>
        <v>0</v>
      </c>
      <c r="I114" s="10">
        <f t="shared" si="82"/>
        <v>0</v>
      </c>
      <c r="J114" s="10">
        <f t="shared" si="82"/>
        <v>0</v>
      </c>
      <c r="K114" s="10">
        <f t="shared" si="82"/>
        <v>0</v>
      </c>
      <c r="L114" s="10">
        <f t="shared" si="82"/>
        <v>0</v>
      </c>
      <c r="M114" s="10">
        <f t="shared" si="82"/>
        <v>0</v>
      </c>
      <c r="N114" s="10">
        <f t="shared" si="82"/>
        <v>0</v>
      </c>
      <c r="O114" s="10">
        <f t="shared" si="82"/>
        <v>0</v>
      </c>
      <c r="P114" s="10">
        <f t="shared" si="82"/>
        <v>0</v>
      </c>
      <c r="Q114" s="10">
        <f t="shared" si="82"/>
        <v>0</v>
      </c>
      <c r="R114" s="10">
        <f t="shared" si="82"/>
        <v>0</v>
      </c>
      <c r="S114" s="10">
        <f t="shared" si="82"/>
        <v>0</v>
      </c>
      <c r="T114" s="12">
        <f t="shared" si="59"/>
        <v>14</v>
      </c>
      <c r="U114" s="12">
        <f t="shared" si="59"/>
        <v>5</v>
      </c>
      <c r="V114" s="12">
        <f t="shared" si="59"/>
        <v>19</v>
      </c>
    </row>
    <row r="115" spans="1:22" ht="18" customHeight="1" x14ac:dyDescent="0.25">
      <c r="A115" s="42"/>
      <c r="B115" s="42"/>
      <c r="C115" s="41" t="s">
        <v>119</v>
      </c>
      <c r="D115" s="5" t="s">
        <v>120</v>
      </c>
      <c r="E115" s="6"/>
      <c r="F115" s="6"/>
      <c r="G115" s="6">
        <f>SUM(E115:F115)</f>
        <v>0</v>
      </c>
      <c r="H115" s="6"/>
      <c r="I115" s="6"/>
      <c r="J115" s="6">
        <f>SUM(H115:I115)</f>
        <v>0</v>
      </c>
      <c r="K115" s="6"/>
      <c r="L115" s="6"/>
      <c r="M115" s="6">
        <f>SUM(K115:L115)</f>
        <v>0</v>
      </c>
      <c r="N115" s="6"/>
      <c r="O115" s="6"/>
      <c r="P115" s="6">
        <f>SUM(N115:O115)</f>
        <v>0</v>
      </c>
      <c r="Q115" s="6"/>
      <c r="R115" s="6"/>
      <c r="S115" s="6">
        <f>SUM(Q115:R115)</f>
        <v>0</v>
      </c>
      <c r="T115" s="7">
        <f t="shared" si="59"/>
        <v>0</v>
      </c>
      <c r="U115" s="7">
        <f t="shared" si="59"/>
        <v>0</v>
      </c>
      <c r="V115" s="7">
        <f t="shared" si="59"/>
        <v>0</v>
      </c>
    </row>
    <row r="116" spans="1:22" ht="18" customHeight="1" x14ac:dyDescent="0.25">
      <c r="A116" s="42"/>
      <c r="B116" s="42"/>
      <c r="C116" s="42"/>
      <c r="D116" s="5" t="s">
        <v>121</v>
      </c>
      <c r="E116" s="6"/>
      <c r="F116" s="6"/>
      <c r="G116" s="6">
        <f>SUM(E116:F116)</f>
        <v>0</v>
      </c>
      <c r="H116" s="6"/>
      <c r="I116" s="6"/>
      <c r="J116" s="6">
        <f>SUM(H116:I116)</f>
        <v>0</v>
      </c>
      <c r="K116" s="6"/>
      <c r="L116" s="6"/>
      <c r="M116" s="6">
        <f>SUM(K116:L116)</f>
        <v>0</v>
      </c>
      <c r="N116" s="6"/>
      <c r="O116" s="6"/>
      <c r="P116" s="6">
        <f>SUM(N116:O116)</f>
        <v>0</v>
      </c>
      <c r="Q116" s="6"/>
      <c r="R116" s="6"/>
      <c r="S116" s="6">
        <f>SUM(Q116:R116)</f>
        <v>0</v>
      </c>
      <c r="T116" s="7">
        <f t="shared" si="59"/>
        <v>0</v>
      </c>
      <c r="U116" s="7">
        <f t="shared" si="59"/>
        <v>0</v>
      </c>
      <c r="V116" s="7">
        <f t="shared" si="59"/>
        <v>0</v>
      </c>
    </row>
    <row r="117" spans="1:22" ht="18" customHeight="1" x14ac:dyDescent="0.25">
      <c r="A117" s="42"/>
      <c r="B117" s="42"/>
      <c r="C117" s="42"/>
      <c r="D117" s="5" t="s">
        <v>122</v>
      </c>
      <c r="E117" s="6"/>
      <c r="F117" s="6"/>
      <c r="G117" s="6">
        <f>SUM(E117:F117)</f>
        <v>0</v>
      </c>
      <c r="H117" s="6"/>
      <c r="I117" s="6"/>
      <c r="J117" s="6">
        <f>SUM(H117:I117)</f>
        <v>0</v>
      </c>
      <c r="K117" s="6"/>
      <c r="L117" s="6"/>
      <c r="M117" s="6">
        <f>SUM(K117:L117)</f>
        <v>0</v>
      </c>
      <c r="N117" s="6"/>
      <c r="O117" s="6"/>
      <c r="P117" s="6">
        <f>SUM(N117:O117)</f>
        <v>0</v>
      </c>
      <c r="Q117" s="6"/>
      <c r="R117" s="6"/>
      <c r="S117" s="6">
        <f>SUM(Q117:R117)</f>
        <v>0</v>
      </c>
      <c r="T117" s="7">
        <f t="shared" si="59"/>
        <v>0</v>
      </c>
      <c r="U117" s="7">
        <f t="shared" si="59"/>
        <v>0</v>
      </c>
      <c r="V117" s="7">
        <f t="shared" si="59"/>
        <v>0</v>
      </c>
    </row>
    <row r="118" spans="1:22" ht="18" customHeight="1" x14ac:dyDescent="0.25">
      <c r="A118" s="42"/>
      <c r="B118" s="42"/>
      <c r="C118" s="42"/>
      <c r="D118" s="5" t="s">
        <v>123</v>
      </c>
      <c r="E118" s="6"/>
      <c r="F118" s="6"/>
      <c r="G118" s="6">
        <f>SUM(E118:F118)</f>
        <v>0</v>
      </c>
      <c r="H118" s="6"/>
      <c r="I118" s="6"/>
      <c r="J118" s="6">
        <f>SUM(H118:I118)</f>
        <v>0</v>
      </c>
      <c r="K118" s="6"/>
      <c r="L118" s="6"/>
      <c r="M118" s="6">
        <f>SUM(K118:L118)</f>
        <v>0</v>
      </c>
      <c r="N118" s="6"/>
      <c r="O118" s="6"/>
      <c r="P118" s="6">
        <f>SUM(N118:O118)</f>
        <v>0</v>
      </c>
      <c r="Q118" s="6"/>
      <c r="R118" s="6"/>
      <c r="S118" s="6">
        <f>SUM(Q118:R118)</f>
        <v>0</v>
      </c>
      <c r="T118" s="7">
        <f t="shared" si="59"/>
        <v>0</v>
      </c>
      <c r="U118" s="7">
        <f t="shared" si="59"/>
        <v>0</v>
      </c>
      <c r="V118" s="7">
        <f t="shared" si="59"/>
        <v>0</v>
      </c>
    </row>
    <row r="119" spans="1:22" ht="18" customHeight="1" x14ac:dyDescent="0.25">
      <c r="A119" s="42"/>
      <c r="B119" s="42"/>
      <c r="C119" s="43"/>
      <c r="D119" s="9" t="s">
        <v>23</v>
      </c>
      <c r="E119" s="10">
        <f t="shared" ref="E119:S119" si="83">SUM(E115:E118)</f>
        <v>0</v>
      </c>
      <c r="F119" s="10">
        <f t="shared" si="83"/>
        <v>0</v>
      </c>
      <c r="G119" s="10">
        <f t="shared" si="83"/>
        <v>0</v>
      </c>
      <c r="H119" s="10">
        <f t="shared" si="83"/>
        <v>0</v>
      </c>
      <c r="I119" s="10">
        <f t="shared" si="83"/>
        <v>0</v>
      </c>
      <c r="J119" s="10">
        <f t="shared" si="83"/>
        <v>0</v>
      </c>
      <c r="K119" s="10">
        <f t="shared" si="83"/>
        <v>0</v>
      </c>
      <c r="L119" s="10">
        <f t="shared" si="83"/>
        <v>0</v>
      </c>
      <c r="M119" s="10">
        <f t="shared" si="83"/>
        <v>0</v>
      </c>
      <c r="N119" s="10">
        <f t="shared" si="83"/>
        <v>0</v>
      </c>
      <c r="O119" s="10">
        <f t="shared" si="83"/>
        <v>0</v>
      </c>
      <c r="P119" s="10">
        <f t="shared" si="83"/>
        <v>0</v>
      </c>
      <c r="Q119" s="10">
        <f t="shared" si="83"/>
        <v>0</v>
      </c>
      <c r="R119" s="10">
        <f t="shared" si="83"/>
        <v>0</v>
      </c>
      <c r="S119" s="10">
        <f t="shared" si="83"/>
        <v>0</v>
      </c>
      <c r="T119" s="12">
        <f t="shared" si="59"/>
        <v>0</v>
      </c>
      <c r="U119" s="12">
        <f t="shared" si="59"/>
        <v>0</v>
      </c>
      <c r="V119" s="12">
        <f t="shared" si="59"/>
        <v>0</v>
      </c>
    </row>
    <row r="120" spans="1:22" ht="18" customHeight="1" x14ac:dyDescent="0.25">
      <c r="A120" s="42"/>
      <c r="B120" s="42"/>
      <c r="C120" s="41" t="s">
        <v>124</v>
      </c>
      <c r="D120" s="5" t="s">
        <v>125</v>
      </c>
      <c r="E120" s="6"/>
      <c r="F120" s="6"/>
      <c r="G120" s="6">
        <f>SUM(E120:F120)</f>
        <v>0</v>
      </c>
      <c r="H120" s="6"/>
      <c r="I120" s="6"/>
      <c r="J120" s="6">
        <f>SUM(H120:I120)</f>
        <v>0</v>
      </c>
      <c r="K120" s="6"/>
      <c r="L120" s="6"/>
      <c r="M120" s="6">
        <f>SUM(K120:L120)</f>
        <v>0</v>
      </c>
      <c r="N120" s="6"/>
      <c r="O120" s="6"/>
      <c r="P120" s="6">
        <f>SUM(N120:O120)</f>
        <v>0</v>
      </c>
      <c r="Q120" s="6"/>
      <c r="R120" s="6"/>
      <c r="S120" s="6">
        <f>SUM(Q120:R120)</f>
        <v>0</v>
      </c>
      <c r="T120" s="7">
        <f t="shared" si="59"/>
        <v>0</v>
      </c>
      <c r="U120" s="7">
        <f t="shared" si="59"/>
        <v>0</v>
      </c>
      <c r="V120" s="7">
        <f t="shared" si="59"/>
        <v>0</v>
      </c>
    </row>
    <row r="121" spans="1:22" ht="18" customHeight="1" x14ac:dyDescent="0.25">
      <c r="A121" s="42"/>
      <c r="B121" s="42"/>
      <c r="C121" s="42"/>
      <c r="D121" s="5" t="s">
        <v>126</v>
      </c>
      <c r="E121" s="6"/>
      <c r="F121" s="6"/>
      <c r="G121" s="6">
        <f>SUM(E121:F121)</f>
        <v>0</v>
      </c>
      <c r="H121" s="6"/>
      <c r="I121" s="6"/>
      <c r="J121" s="6">
        <f>SUM(H121:I121)</f>
        <v>0</v>
      </c>
      <c r="K121" s="6"/>
      <c r="L121" s="6"/>
      <c r="M121" s="6">
        <f>SUM(K121:L121)</f>
        <v>0</v>
      </c>
      <c r="N121" s="6"/>
      <c r="O121" s="6"/>
      <c r="P121" s="6">
        <f>SUM(N121:O121)</f>
        <v>0</v>
      </c>
      <c r="Q121" s="6"/>
      <c r="R121" s="6"/>
      <c r="S121" s="6">
        <f>SUM(Q121:R121)</f>
        <v>0</v>
      </c>
      <c r="T121" s="7">
        <f t="shared" si="59"/>
        <v>0</v>
      </c>
      <c r="U121" s="7">
        <f t="shared" si="59"/>
        <v>0</v>
      </c>
      <c r="V121" s="7">
        <f t="shared" si="59"/>
        <v>0</v>
      </c>
    </row>
    <row r="122" spans="1:22" ht="18" customHeight="1" x14ac:dyDescent="0.25">
      <c r="A122" s="42"/>
      <c r="B122" s="42"/>
      <c r="C122" s="42"/>
      <c r="D122" s="8"/>
      <c r="E122" s="6"/>
      <c r="F122" s="6"/>
      <c r="G122" s="6">
        <f>SUM(E122:F122)</f>
        <v>0</v>
      </c>
      <c r="H122" s="6"/>
      <c r="I122" s="6"/>
      <c r="J122" s="6">
        <f>SUM(H122:I122)</f>
        <v>0</v>
      </c>
      <c r="K122" s="6"/>
      <c r="L122" s="6"/>
      <c r="M122" s="6">
        <f>SUM(K122:L122)</f>
        <v>0</v>
      </c>
      <c r="N122" s="6"/>
      <c r="O122" s="6"/>
      <c r="P122" s="6">
        <f>SUM(N122:O122)</f>
        <v>0</v>
      </c>
      <c r="Q122" s="6"/>
      <c r="R122" s="6"/>
      <c r="S122" s="6">
        <f>SUM(Q122:R122)</f>
        <v>0</v>
      </c>
      <c r="T122" s="7">
        <f t="shared" si="59"/>
        <v>0</v>
      </c>
      <c r="U122" s="7">
        <f t="shared" si="59"/>
        <v>0</v>
      </c>
      <c r="V122" s="7">
        <f t="shared" si="59"/>
        <v>0</v>
      </c>
    </row>
    <row r="123" spans="1:22" ht="18" customHeight="1" x14ac:dyDescent="0.25">
      <c r="A123" s="42"/>
      <c r="B123" s="42"/>
      <c r="C123" s="43"/>
      <c r="D123" s="9" t="s">
        <v>23</v>
      </c>
      <c r="E123" s="10">
        <f t="shared" ref="E123:S123" si="84">SUM(E120:E122)</f>
        <v>0</v>
      </c>
      <c r="F123" s="10">
        <f t="shared" si="84"/>
        <v>0</v>
      </c>
      <c r="G123" s="10">
        <f t="shared" si="84"/>
        <v>0</v>
      </c>
      <c r="H123" s="10">
        <f t="shared" si="84"/>
        <v>0</v>
      </c>
      <c r="I123" s="10">
        <f t="shared" si="84"/>
        <v>0</v>
      </c>
      <c r="J123" s="10">
        <f t="shared" si="84"/>
        <v>0</v>
      </c>
      <c r="K123" s="10">
        <f t="shared" si="84"/>
        <v>0</v>
      </c>
      <c r="L123" s="10">
        <f t="shared" si="84"/>
        <v>0</v>
      </c>
      <c r="M123" s="10">
        <f t="shared" si="84"/>
        <v>0</v>
      </c>
      <c r="N123" s="10">
        <f t="shared" si="84"/>
        <v>0</v>
      </c>
      <c r="O123" s="10">
        <f t="shared" si="84"/>
        <v>0</v>
      </c>
      <c r="P123" s="10">
        <f t="shared" si="84"/>
        <v>0</v>
      </c>
      <c r="Q123" s="10">
        <f t="shared" si="84"/>
        <v>0</v>
      </c>
      <c r="R123" s="10">
        <f t="shared" si="84"/>
        <v>0</v>
      </c>
      <c r="S123" s="10">
        <f t="shared" si="84"/>
        <v>0</v>
      </c>
      <c r="T123" s="12">
        <f t="shared" si="59"/>
        <v>0</v>
      </c>
      <c r="U123" s="12">
        <f t="shared" si="59"/>
        <v>0</v>
      </c>
      <c r="V123" s="12">
        <f t="shared" si="59"/>
        <v>0</v>
      </c>
    </row>
    <row r="124" spans="1:22" ht="18" customHeight="1" x14ac:dyDescent="0.25">
      <c r="A124" s="42"/>
      <c r="B124" s="42"/>
      <c r="C124" s="41" t="s">
        <v>127</v>
      </c>
      <c r="D124" s="5" t="s">
        <v>128</v>
      </c>
      <c r="E124" s="6"/>
      <c r="F124" s="6"/>
      <c r="G124" s="6">
        <f t="shared" ref="G124:G132" si="85">SUM(E124:F124)</f>
        <v>0</v>
      </c>
      <c r="H124" s="6"/>
      <c r="I124" s="6"/>
      <c r="J124" s="6">
        <f t="shared" ref="J124:J128" si="86">SUM(H124:I124)</f>
        <v>0</v>
      </c>
      <c r="K124" s="6"/>
      <c r="L124" s="6"/>
      <c r="M124" s="6">
        <f t="shared" ref="M124:M128" si="87">SUM(K124:L124)</f>
        <v>0</v>
      </c>
      <c r="N124" s="6"/>
      <c r="O124" s="6"/>
      <c r="P124" s="6">
        <f t="shared" ref="P124:P128" si="88">SUM(N124:O124)</f>
        <v>0</v>
      </c>
      <c r="Q124" s="6"/>
      <c r="R124" s="6"/>
      <c r="S124" s="6">
        <f t="shared" ref="S124:S128" si="89">SUM(Q124:R124)</f>
        <v>0</v>
      </c>
      <c r="T124" s="7">
        <f t="shared" si="59"/>
        <v>0</v>
      </c>
      <c r="U124" s="7">
        <f t="shared" si="59"/>
        <v>0</v>
      </c>
      <c r="V124" s="7">
        <f t="shared" si="59"/>
        <v>0</v>
      </c>
    </row>
    <row r="125" spans="1:22" ht="18" customHeight="1" x14ac:dyDescent="0.25">
      <c r="A125" s="42"/>
      <c r="B125" s="42"/>
      <c r="C125" s="42"/>
      <c r="D125" s="5" t="s">
        <v>129</v>
      </c>
      <c r="E125" s="6"/>
      <c r="F125" s="6"/>
      <c r="G125" s="6">
        <f t="shared" si="85"/>
        <v>0</v>
      </c>
      <c r="H125" s="6"/>
      <c r="I125" s="6"/>
      <c r="J125" s="6">
        <f t="shared" si="86"/>
        <v>0</v>
      </c>
      <c r="K125" s="6"/>
      <c r="L125" s="6"/>
      <c r="M125" s="6">
        <f t="shared" si="87"/>
        <v>0</v>
      </c>
      <c r="N125" s="6"/>
      <c r="O125" s="6"/>
      <c r="P125" s="6">
        <f t="shared" si="88"/>
        <v>0</v>
      </c>
      <c r="Q125" s="6"/>
      <c r="R125" s="6"/>
      <c r="S125" s="6">
        <f t="shared" si="89"/>
        <v>0</v>
      </c>
      <c r="T125" s="7">
        <f t="shared" si="59"/>
        <v>0</v>
      </c>
      <c r="U125" s="7">
        <f t="shared" si="59"/>
        <v>0</v>
      </c>
      <c r="V125" s="7">
        <f t="shared" si="59"/>
        <v>0</v>
      </c>
    </row>
    <row r="126" spans="1:22" ht="18" customHeight="1" x14ac:dyDescent="0.25">
      <c r="A126" s="42"/>
      <c r="B126" s="42"/>
      <c r="C126" s="42"/>
      <c r="D126" s="5" t="s">
        <v>130</v>
      </c>
      <c r="E126" s="6"/>
      <c r="F126" s="6"/>
      <c r="G126" s="6">
        <f t="shared" si="85"/>
        <v>0</v>
      </c>
      <c r="H126" s="6"/>
      <c r="I126" s="6"/>
      <c r="J126" s="6">
        <f t="shared" si="86"/>
        <v>0</v>
      </c>
      <c r="K126" s="6"/>
      <c r="L126" s="6"/>
      <c r="M126" s="6">
        <f t="shared" si="87"/>
        <v>0</v>
      </c>
      <c r="N126" s="6"/>
      <c r="O126" s="6"/>
      <c r="P126" s="6">
        <f t="shared" si="88"/>
        <v>0</v>
      </c>
      <c r="Q126" s="6"/>
      <c r="R126" s="6"/>
      <c r="S126" s="6">
        <f t="shared" si="89"/>
        <v>0</v>
      </c>
      <c r="T126" s="7">
        <f t="shared" si="59"/>
        <v>0</v>
      </c>
      <c r="U126" s="7">
        <f t="shared" si="59"/>
        <v>0</v>
      </c>
      <c r="V126" s="7">
        <f t="shared" si="59"/>
        <v>0</v>
      </c>
    </row>
    <row r="127" spans="1:22" ht="18" customHeight="1" x14ac:dyDescent="0.25">
      <c r="A127" s="42"/>
      <c r="B127" s="42"/>
      <c r="C127" s="42"/>
      <c r="D127" s="5" t="s">
        <v>131</v>
      </c>
      <c r="E127" s="6"/>
      <c r="F127" s="6"/>
      <c r="G127" s="6">
        <f t="shared" si="85"/>
        <v>0</v>
      </c>
      <c r="H127" s="6"/>
      <c r="I127" s="6"/>
      <c r="J127" s="6">
        <f t="shared" si="86"/>
        <v>0</v>
      </c>
      <c r="K127" s="6"/>
      <c r="L127" s="6"/>
      <c r="M127" s="6">
        <f t="shared" si="87"/>
        <v>0</v>
      </c>
      <c r="N127" s="6"/>
      <c r="O127" s="6"/>
      <c r="P127" s="6">
        <f t="shared" si="88"/>
        <v>0</v>
      </c>
      <c r="Q127" s="6"/>
      <c r="R127" s="6"/>
      <c r="S127" s="6">
        <f t="shared" si="89"/>
        <v>0</v>
      </c>
      <c r="T127" s="7">
        <f t="shared" si="59"/>
        <v>0</v>
      </c>
      <c r="U127" s="7">
        <f t="shared" si="59"/>
        <v>0</v>
      </c>
      <c r="V127" s="7">
        <f t="shared" si="59"/>
        <v>0</v>
      </c>
    </row>
    <row r="128" spans="1:22" ht="18" customHeight="1" x14ac:dyDescent="0.25">
      <c r="A128" s="42"/>
      <c r="B128" s="42"/>
      <c r="C128" s="42"/>
      <c r="D128" s="5" t="s">
        <v>132</v>
      </c>
      <c r="E128" s="6"/>
      <c r="F128" s="6"/>
      <c r="G128" s="6">
        <f t="shared" si="85"/>
        <v>0</v>
      </c>
      <c r="H128" s="6"/>
      <c r="I128" s="6"/>
      <c r="J128" s="6">
        <f t="shared" si="86"/>
        <v>0</v>
      </c>
      <c r="K128" s="6"/>
      <c r="L128" s="6"/>
      <c r="M128" s="6">
        <f t="shared" si="87"/>
        <v>0</v>
      </c>
      <c r="N128" s="6"/>
      <c r="O128" s="6"/>
      <c r="P128" s="6">
        <f t="shared" si="88"/>
        <v>0</v>
      </c>
      <c r="Q128" s="6"/>
      <c r="R128" s="6"/>
      <c r="S128" s="6">
        <f t="shared" si="89"/>
        <v>0</v>
      </c>
      <c r="T128" s="7">
        <f t="shared" si="59"/>
        <v>0</v>
      </c>
      <c r="U128" s="7">
        <f t="shared" si="59"/>
        <v>0</v>
      </c>
      <c r="V128" s="7">
        <f t="shared" si="59"/>
        <v>0</v>
      </c>
    </row>
    <row r="129" spans="1:22" ht="18" customHeight="1" x14ac:dyDescent="0.25">
      <c r="A129" s="42"/>
      <c r="B129" s="42"/>
      <c r="C129" s="42"/>
      <c r="D129" s="5" t="s">
        <v>133</v>
      </c>
      <c r="E129" s="6"/>
      <c r="F129" s="6"/>
      <c r="G129" s="6">
        <f>SUM(E129:F129)</f>
        <v>0</v>
      </c>
      <c r="H129" s="6"/>
      <c r="I129" s="6"/>
      <c r="J129" s="6">
        <f>SUM(H129:I129)</f>
        <v>0</v>
      </c>
      <c r="K129" s="6"/>
      <c r="L129" s="6"/>
      <c r="M129" s="6">
        <f>SUM(K129:L129)</f>
        <v>0</v>
      </c>
      <c r="N129" s="6"/>
      <c r="O129" s="6"/>
      <c r="P129" s="6">
        <f>SUM(N129:O129)</f>
        <v>0</v>
      </c>
      <c r="Q129" s="6"/>
      <c r="R129" s="6"/>
      <c r="S129" s="6">
        <f>SUM(Q129:R129)</f>
        <v>0</v>
      </c>
      <c r="T129" s="7">
        <f t="shared" si="59"/>
        <v>0</v>
      </c>
      <c r="U129" s="7">
        <f t="shared" si="59"/>
        <v>0</v>
      </c>
      <c r="V129" s="7">
        <f t="shared" si="59"/>
        <v>0</v>
      </c>
    </row>
    <row r="130" spans="1:22" ht="18" customHeight="1" x14ac:dyDescent="0.25">
      <c r="A130" s="42"/>
      <c r="B130" s="42"/>
      <c r="C130" s="42"/>
      <c r="D130" s="5" t="s">
        <v>134</v>
      </c>
      <c r="E130" s="6"/>
      <c r="F130" s="6"/>
      <c r="G130" s="6">
        <f t="shared" si="85"/>
        <v>0</v>
      </c>
      <c r="H130" s="6"/>
      <c r="I130" s="6"/>
      <c r="J130" s="6">
        <f t="shared" ref="J130:J132" si="90">SUM(H130:I130)</f>
        <v>0</v>
      </c>
      <c r="K130" s="6"/>
      <c r="L130" s="6"/>
      <c r="M130" s="6">
        <f t="shared" ref="M130:M132" si="91">SUM(K130:L130)</f>
        <v>0</v>
      </c>
      <c r="N130" s="6"/>
      <c r="O130" s="6"/>
      <c r="P130" s="6">
        <f t="shared" ref="P130:P132" si="92">SUM(N130:O130)</f>
        <v>0</v>
      </c>
      <c r="Q130" s="6"/>
      <c r="R130" s="6"/>
      <c r="S130" s="6">
        <f t="shared" ref="S130:S132" si="93">SUM(Q130:R130)</f>
        <v>0</v>
      </c>
      <c r="T130" s="7">
        <f t="shared" si="59"/>
        <v>0</v>
      </c>
      <c r="U130" s="7">
        <f t="shared" si="59"/>
        <v>0</v>
      </c>
      <c r="V130" s="7">
        <f t="shared" si="59"/>
        <v>0</v>
      </c>
    </row>
    <row r="131" spans="1:22" ht="18" customHeight="1" x14ac:dyDescent="0.25">
      <c r="A131" s="42"/>
      <c r="B131" s="42"/>
      <c r="C131" s="42"/>
      <c r="D131" s="8"/>
      <c r="E131" s="6"/>
      <c r="F131" s="6"/>
      <c r="G131" s="6">
        <f t="shared" si="85"/>
        <v>0</v>
      </c>
      <c r="H131" s="6"/>
      <c r="I131" s="6"/>
      <c r="J131" s="6">
        <f t="shared" si="90"/>
        <v>0</v>
      </c>
      <c r="K131" s="6"/>
      <c r="L131" s="6"/>
      <c r="M131" s="6">
        <f t="shared" si="91"/>
        <v>0</v>
      </c>
      <c r="N131" s="6"/>
      <c r="O131" s="6"/>
      <c r="P131" s="6">
        <f t="shared" si="92"/>
        <v>0</v>
      </c>
      <c r="Q131" s="6"/>
      <c r="R131" s="6"/>
      <c r="S131" s="6">
        <f t="shared" si="93"/>
        <v>0</v>
      </c>
      <c r="T131" s="7">
        <f t="shared" si="59"/>
        <v>0</v>
      </c>
      <c r="U131" s="7">
        <f t="shared" si="59"/>
        <v>0</v>
      </c>
      <c r="V131" s="7">
        <f t="shared" si="59"/>
        <v>0</v>
      </c>
    </row>
    <row r="132" spans="1:22" ht="18" customHeight="1" x14ac:dyDescent="0.25">
      <c r="A132" s="42"/>
      <c r="B132" s="42"/>
      <c r="C132" s="42"/>
      <c r="D132" s="8"/>
      <c r="E132" s="6"/>
      <c r="F132" s="6"/>
      <c r="G132" s="6">
        <f t="shared" si="85"/>
        <v>0</v>
      </c>
      <c r="H132" s="6"/>
      <c r="I132" s="6"/>
      <c r="J132" s="6">
        <f t="shared" si="90"/>
        <v>0</v>
      </c>
      <c r="K132" s="6"/>
      <c r="L132" s="6"/>
      <c r="M132" s="6">
        <f t="shared" si="91"/>
        <v>0</v>
      </c>
      <c r="N132" s="6"/>
      <c r="O132" s="6"/>
      <c r="P132" s="6">
        <f t="shared" si="92"/>
        <v>0</v>
      </c>
      <c r="Q132" s="6"/>
      <c r="R132" s="6"/>
      <c r="S132" s="6">
        <f t="shared" si="93"/>
        <v>0</v>
      </c>
      <c r="T132" s="7">
        <f t="shared" si="59"/>
        <v>0</v>
      </c>
      <c r="U132" s="7">
        <f t="shared" si="59"/>
        <v>0</v>
      </c>
      <c r="V132" s="7">
        <f t="shared" si="59"/>
        <v>0</v>
      </c>
    </row>
    <row r="133" spans="1:22" ht="18" customHeight="1" x14ac:dyDescent="0.25">
      <c r="A133" s="42"/>
      <c r="B133" s="42"/>
      <c r="C133" s="43"/>
      <c r="D133" s="9" t="s">
        <v>23</v>
      </c>
      <c r="E133" s="10">
        <f t="shared" ref="E133:S133" si="94">SUM(E124:E132)</f>
        <v>0</v>
      </c>
      <c r="F133" s="10">
        <f t="shared" si="94"/>
        <v>0</v>
      </c>
      <c r="G133" s="10">
        <f t="shared" si="94"/>
        <v>0</v>
      </c>
      <c r="H133" s="10">
        <f t="shared" si="94"/>
        <v>0</v>
      </c>
      <c r="I133" s="10">
        <f t="shared" si="94"/>
        <v>0</v>
      </c>
      <c r="J133" s="10">
        <f t="shared" si="94"/>
        <v>0</v>
      </c>
      <c r="K133" s="10">
        <f t="shared" si="94"/>
        <v>0</v>
      </c>
      <c r="L133" s="10">
        <f t="shared" si="94"/>
        <v>0</v>
      </c>
      <c r="M133" s="10">
        <f t="shared" si="94"/>
        <v>0</v>
      </c>
      <c r="N133" s="10">
        <f t="shared" si="94"/>
        <v>0</v>
      </c>
      <c r="O133" s="10">
        <f t="shared" si="94"/>
        <v>0</v>
      </c>
      <c r="P133" s="10">
        <f t="shared" si="94"/>
        <v>0</v>
      </c>
      <c r="Q133" s="10">
        <f t="shared" si="94"/>
        <v>0</v>
      </c>
      <c r="R133" s="10">
        <f t="shared" si="94"/>
        <v>0</v>
      </c>
      <c r="S133" s="10">
        <f t="shared" si="94"/>
        <v>0</v>
      </c>
      <c r="T133" s="12">
        <f t="shared" si="59"/>
        <v>0</v>
      </c>
      <c r="U133" s="12">
        <f t="shared" si="59"/>
        <v>0</v>
      </c>
      <c r="V133" s="12">
        <f t="shared" si="59"/>
        <v>0</v>
      </c>
    </row>
    <row r="134" spans="1:22" ht="18" customHeight="1" x14ac:dyDescent="0.25">
      <c r="A134" s="42"/>
      <c r="B134" s="42"/>
      <c r="C134" s="41" t="s">
        <v>135</v>
      </c>
      <c r="D134" s="5" t="s">
        <v>136</v>
      </c>
      <c r="E134" s="6"/>
      <c r="F134" s="6"/>
      <c r="G134" s="15">
        <f t="shared" ref="G134:G139" si="95">SUM(E134:F134)</f>
        <v>0</v>
      </c>
      <c r="H134" s="6"/>
      <c r="I134" s="6"/>
      <c r="J134" s="15">
        <f t="shared" ref="J134:J139" si="96">SUM(H134:I134)</f>
        <v>0</v>
      </c>
      <c r="K134" s="6"/>
      <c r="L134" s="6"/>
      <c r="M134" s="15">
        <f t="shared" ref="M134:M139" si="97">SUM(K134:L134)</f>
        <v>0</v>
      </c>
      <c r="N134" s="6"/>
      <c r="O134" s="6"/>
      <c r="P134" s="15">
        <f t="shared" ref="P134:P139" si="98">SUM(N134:O134)</f>
        <v>0</v>
      </c>
      <c r="Q134" s="6"/>
      <c r="R134" s="6"/>
      <c r="S134" s="15">
        <f t="shared" ref="S134:S139" si="99">SUM(Q134:R134)</f>
        <v>0</v>
      </c>
      <c r="T134" s="7">
        <f t="shared" si="59"/>
        <v>0</v>
      </c>
      <c r="U134" s="7">
        <f t="shared" si="59"/>
        <v>0</v>
      </c>
      <c r="V134" s="7">
        <f t="shared" si="59"/>
        <v>0</v>
      </c>
    </row>
    <row r="135" spans="1:22" ht="18" customHeight="1" x14ac:dyDescent="0.25">
      <c r="A135" s="42"/>
      <c r="B135" s="42"/>
      <c r="C135" s="42"/>
      <c r="D135" s="5" t="s">
        <v>137</v>
      </c>
      <c r="E135" s="6"/>
      <c r="F135" s="6"/>
      <c r="G135" s="15">
        <f t="shared" si="95"/>
        <v>0</v>
      </c>
      <c r="H135" s="6"/>
      <c r="I135" s="6"/>
      <c r="J135" s="15">
        <f t="shared" si="96"/>
        <v>0</v>
      </c>
      <c r="K135" s="6"/>
      <c r="L135" s="6"/>
      <c r="M135" s="15">
        <f t="shared" si="97"/>
        <v>0</v>
      </c>
      <c r="N135" s="6"/>
      <c r="O135" s="6"/>
      <c r="P135" s="15">
        <f t="shared" si="98"/>
        <v>0</v>
      </c>
      <c r="Q135" s="6"/>
      <c r="R135" s="6"/>
      <c r="S135" s="15">
        <f t="shared" si="99"/>
        <v>0</v>
      </c>
      <c r="T135" s="7">
        <f t="shared" si="59"/>
        <v>0</v>
      </c>
      <c r="U135" s="7">
        <f t="shared" si="59"/>
        <v>0</v>
      </c>
      <c r="V135" s="7">
        <f t="shared" si="59"/>
        <v>0</v>
      </c>
    </row>
    <row r="136" spans="1:22" ht="18" customHeight="1" x14ac:dyDescent="0.25">
      <c r="A136" s="42"/>
      <c r="B136" s="42"/>
      <c r="C136" s="42"/>
      <c r="D136" s="5" t="s">
        <v>138</v>
      </c>
      <c r="E136" s="6"/>
      <c r="F136" s="6"/>
      <c r="G136" s="15">
        <f t="shared" si="95"/>
        <v>0</v>
      </c>
      <c r="H136" s="6"/>
      <c r="I136" s="6"/>
      <c r="J136" s="15">
        <f t="shared" si="96"/>
        <v>0</v>
      </c>
      <c r="K136" s="6"/>
      <c r="L136" s="6"/>
      <c r="M136" s="15">
        <f t="shared" si="97"/>
        <v>0</v>
      </c>
      <c r="N136" s="6"/>
      <c r="O136" s="6"/>
      <c r="P136" s="15">
        <f t="shared" si="98"/>
        <v>0</v>
      </c>
      <c r="Q136" s="6"/>
      <c r="R136" s="6"/>
      <c r="S136" s="15">
        <f t="shared" si="99"/>
        <v>0</v>
      </c>
      <c r="T136" s="7">
        <f t="shared" si="59"/>
        <v>0</v>
      </c>
      <c r="U136" s="7">
        <f t="shared" si="59"/>
        <v>0</v>
      </c>
      <c r="V136" s="7">
        <f t="shared" si="59"/>
        <v>0</v>
      </c>
    </row>
    <row r="137" spans="1:22" ht="18" customHeight="1" x14ac:dyDescent="0.25">
      <c r="A137" s="42"/>
      <c r="B137" s="42"/>
      <c r="C137" s="42"/>
      <c r="D137" s="5" t="s">
        <v>139</v>
      </c>
      <c r="E137" s="6"/>
      <c r="F137" s="6"/>
      <c r="G137" s="15">
        <f t="shared" si="95"/>
        <v>0</v>
      </c>
      <c r="H137" s="6"/>
      <c r="I137" s="6"/>
      <c r="J137" s="15">
        <f t="shared" si="96"/>
        <v>0</v>
      </c>
      <c r="K137" s="6"/>
      <c r="L137" s="6"/>
      <c r="M137" s="15">
        <f t="shared" si="97"/>
        <v>0</v>
      </c>
      <c r="N137" s="6"/>
      <c r="O137" s="6"/>
      <c r="P137" s="15">
        <f t="shared" si="98"/>
        <v>0</v>
      </c>
      <c r="Q137" s="6"/>
      <c r="R137" s="6"/>
      <c r="S137" s="15">
        <f t="shared" si="99"/>
        <v>0</v>
      </c>
      <c r="T137" s="7">
        <f t="shared" si="59"/>
        <v>0</v>
      </c>
      <c r="U137" s="7">
        <f t="shared" si="59"/>
        <v>0</v>
      </c>
      <c r="V137" s="7">
        <f t="shared" si="59"/>
        <v>0</v>
      </c>
    </row>
    <row r="138" spans="1:22" ht="18" customHeight="1" x14ac:dyDescent="0.25">
      <c r="A138" s="42"/>
      <c r="B138" s="42"/>
      <c r="C138" s="42"/>
      <c r="D138" s="5" t="s">
        <v>140</v>
      </c>
      <c r="E138" s="6"/>
      <c r="F138" s="6"/>
      <c r="G138" s="15">
        <f t="shared" si="95"/>
        <v>0</v>
      </c>
      <c r="H138" s="6"/>
      <c r="I138" s="6"/>
      <c r="J138" s="15">
        <f t="shared" si="96"/>
        <v>0</v>
      </c>
      <c r="K138" s="6"/>
      <c r="L138" s="6"/>
      <c r="M138" s="15">
        <f t="shared" si="97"/>
        <v>0</v>
      </c>
      <c r="N138" s="6"/>
      <c r="O138" s="6"/>
      <c r="P138" s="15">
        <f t="shared" si="98"/>
        <v>0</v>
      </c>
      <c r="Q138" s="6"/>
      <c r="R138" s="6"/>
      <c r="S138" s="15">
        <f t="shared" si="99"/>
        <v>0</v>
      </c>
      <c r="T138" s="7">
        <f t="shared" si="59"/>
        <v>0</v>
      </c>
      <c r="U138" s="7">
        <f t="shared" si="59"/>
        <v>0</v>
      </c>
      <c r="V138" s="7">
        <f t="shared" si="59"/>
        <v>0</v>
      </c>
    </row>
    <row r="139" spans="1:22" ht="18" customHeight="1" x14ac:dyDescent="0.25">
      <c r="A139" s="42"/>
      <c r="B139" s="42"/>
      <c r="C139" s="42"/>
      <c r="D139" s="5" t="s">
        <v>141</v>
      </c>
      <c r="E139" s="6"/>
      <c r="F139" s="6"/>
      <c r="G139" s="15">
        <f t="shared" si="95"/>
        <v>0</v>
      </c>
      <c r="H139" s="6"/>
      <c r="I139" s="6"/>
      <c r="J139" s="15">
        <f t="shared" si="96"/>
        <v>0</v>
      </c>
      <c r="K139" s="6"/>
      <c r="L139" s="6"/>
      <c r="M139" s="15">
        <f t="shared" si="97"/>
        <v>0</v>
      </c>
      <c r="N139" s="6"/>
      <c r="O139" s="6"/>
      <c r="P139" s="15">
        <f t="shared" si="98"/>
        <v>0</v>
      </c>
      <c r="Q139" s="6"/>
      <c r="R139" s="6"/>
      <c r="S139" s="15">
        <f t="shared" si="99"/>
        <v>0</v>
      </c>
      <c r="T139" s="7">
        <f t="shared" si="59"/>
        <v>0</v>
      </c>
      <c r="U139" s="7">
        <f t="shared" si="59"/>
        <v>0</v>
      </c>
      <c r="V139" s="7">
        <f t="shared" si="59"/>
        <v>0</v>
      </c>
    </row>
    <row r="140" spans="1:22" ht="18" customHeight="1" x14ac:dyDescent="0.25">
      <c r="A140" s="42"/>
      <c r="B140" s="42"/>
      <c r="C140" s="42"/>
      <c r="D140" s="5" t="s">
        <v>142</v>
      </c>
      <c r="E140" s="6"/>
      <c r="F140" s="6"/>
      <c r="G140" s="15">
        <f>SUM(E140:F140)</f>
        <v>0</v>
      </c>
      <c r="H140" s="6"/>
      <c r="I140" s="6"/>
      <c r="J140" s="15">
        <f>SUM(H140:I140)</f>
        <v>0</v>
      </c>
      <c r="K140" s="6"/>
      <c r="L140" s="6"/>
      <c r="M140" s="15">
        <f>SUM(K140:L140)</f>
        <v>0</v>
      </c>
      <c r="N140" s="6"/>
      <c r="O140" s="6"/>
      <c r="P140" s="15">
        <f>SUM(N140:O140)</f>
        <v>0</v>
      </c>
      <c r="Q140" s="6"/>
      <c r="R140" s="6"/>
      <c r="S140" s="15">
        <f>SUM(Q140:R140)</f>
        <v>0</v>
      </c>
      <c r="T140" s="7">
        <f t="shared" si="59"/>
        <v>0</v>
      </c>
      <c r="U140" s="7">
        <f t="shared" si="59"/>
        <v>0</v>
      </c>
      <c r="V140" s="7">
        <f t="shared" si="59"/>
        <v>0</v>
      </c>
    </row>
    <row r="141" spans="1:22" ht="18" customHeight="1" x14ac:dyDescent="0.25">
      <c r="A141" s="42"/>
      <c r="B141" s="42"/>
      <c r="C141" s="43"/>
      <c r="D141" s="9" t="s">
        <v>23</v>
      </c>
      <c r="E141" s="10">
        <f t="shared" ref="E141:S141" si="100">SUM(E134:E140)</f>
        <v>0</v>
      </c>
      <c r="F141" s="10">
        <f t="shared" si="100"/>
        <v>0</v>
      </c>
      <c r="G141" s="10">
        <f t="shared" si="100"/>
        <v>0</v>
      </c>
      <c r="H141" s="10">
        <f t="shared" si="100"/>
        <v>0</v>
      </c>
      <c r="I141" s="10">
        <f t="shared" si="100"/>
        <v>0</v>
      </c>
      <c r="J141" s="10">
        <f t="shared" si="100"/>
        <v>0</v>
      </c>
      <c r="K141" s="10">
        <f t="shared" si="100"/>
        <v>0</v>
      </c>
      <c r="L141" s="10">
        <f t="shared" si="100"/>
        <v>0</v>
      </c>
      <c r="M141" s="10">
        <f t="shared" si="100"/>
        <v>0</v>
      </c>
      <c r="N141" s="10">
        <f t="shared" si="100"/>
        <v>0</v>
      </c>
      <c r="O141" s="10">
        <f t="shared" si="100"/>
        <v>0</v>
      </c>
      <c r="P141" s="10">
        <f t="shared" si="100"/>
        <v>0</v>
      </c>
      <c r="Q141" s="10">
        <f t="shared" si="100"/>
        <v>0</v>
      </c>
      <c r="R141" s="10">
        <f t="shared" si="100"/>
        <v>0</v>
      </c>
      <c r="S141" s="10">
        <f t="shared" si="100"/>
        <v>0</v>
      </c>
      <c r="T141" s="12">
        <f t="shared" si="59"/>
        <v>0</v>
      </c>
      <c r="U141" s="12">
        <f t="shared" si="59"/>
        <v>0</v>
      </c>
      <c r="V141" s="12">
        <f t="shared" si="59"/>
        <v>0</v>
      </c>
    </row>
    <row r="142" spans="1:22" ht="18" customHeight="1" x14ac:dyDescent="0.25">
      <c r="A142" s="42"/>
      <c r="B142" s="42"/>
      <c r="C142" s="41" t="s">
        <v>143</v>
      </c>
      <c r="D142" s="5" t="s">
        <v>144</v>
      </c>
      <c r="E142" s="6"/>
      <c r="F142" s="6"/>
      <c r="G142" s="15">
        <f t="shared" ref="G142:G145" si="101">SUM(E142:F142)</f>
        <v>0</v>
      </c>
      <c r="H142" s="6"/>
      <c r="I142" s="6"/>
      <c r="J142" s="15">
        <f t="shared" ref="J142:J145" si="102">SUM(H142:I142)</f>
        <v>0</v>
      </c>
      <c r="K142" s="6"/>
      <c r="L142" s="6"/>
      <c r="M142" s="15">
        <f t="shared" ref="M142:M145" si="103">SUM(K142:L142)</f>
        <v>0</v>
      </c>
      <c r="N142" s="6"/>
      <c r="O142" s="6"/>
      <c r="P142" s="15">
        <f t="shared" ref="P142:P145" si="104">SUM(N142:O142)</f>
        <v>0</v>
      </c>
      <c r="Q142" s="6"/>
      <c r="R142" s="6"/>
      <c r="S142" s="15">
        <f t="shared" ref="S142:S145" si="105">SUM(Q142:R142)</f>
        <v>0</v>
      </c>
      <c r="T142" s="7">
        <f t="shared" si="59"/>
        <v>0</v>
      </c>
      <c r="U142" s="7">
        <f t="shared" si="59"/>
        <v>0</v>
      </c>
      <c r="V142" s="7">
        <f t="shared" si="59"/>
        <v>0</v>
      </c>
    </row>
    <row r="143" spans="1:22" ht="18" customHeight="1" x14ac:dyDescent="0.25">
      <c r="A143" s="42"/>
      <c r="B143" s="42"/>
      <c r="C143" s="42"/>
      <c r="D143" s="5" t="s">
        <v>145</v>
      </c>
      <c r="E143" s="6"/>
      <c r="F143" s="6"/>
      <c r="G143" s="15">
        <f t="shared" si="101"/>
        <v>0</v>
      </c>
      <c r="H143" s="6"/>
      <c r="I143" s="6"/>
      <c r="J143" s="15">
        <f t="shared" si="102"/>
        <v>0</v>
      </c>
      <c r="K143" s="6"/>
      <c r="L143" s="6"/>
      <c r="M143" s="15">
        <f t="shared" si="103"/>
        <v>0</v>
      </c>
      <c r="N143" s="6"/>
      <c r="O143" s="6"/>
      <c r="P143" s="15">
        <f t="shared" si="104"/>
        <v>0</v>
      </c>
      <c r="Q143" s="6"/>
      <c r="R143" s="6"/>
      <c r="S143" s="15">
        <f t="shared" si="105"/>
        <v>0</v>
      </c>
      <c r="T143" s="7">
        <f t="shared" si="59"/>
        <v>0</v>
      </c>
      <c r="U143" s="7">
        <f t="shared" si="59"/>
        <v>0</v>
      </c>
      <c r="V143" s="7">
        <f t="shared" si="59"/>
        <v>0</v>
      </c>
    </row>
    <row r="144" spans="1:22" ht="18" customHeight="1" x14ac:dyDescent="0.25">
      <c r="A144" s="42"/>
      <c r="B144" s="42"/>
      <c r="C144" s="42"/>
      <c r="D144" s="5" t="s">
        <v>146</v>
      </c>
      <c r="E144" s="6"/>
      <c r="F144" s="6"/>
      <c r="G144" s="15">
        <f t="shared" si="101"/>
        <v>0</v>
      </c>
      <c r="H144" s="6"/>
      <c r="I144" s="6"/>
      <c r="J144" s="15">
        <f t="shared" si="102"/>
        <v>0</v>
      </c>
      <c r="K144" s="6"/>
      <c r="L144" s="6"/>
      <c r="M144" s="15">
        <f t="shared" si="103"/>
        <v>0</v>
      </c>
      <c r="N144" s="6"/>
      <c r="O144" s="6"/>
      <c r="P144" s="15">
        <f t="shared" si="104"/>
        <v>0</v>
      </c>
      <c r="Q144" s="6"/>
      <c r="R144" s="6"/>
      <c r="S144" s="15">
        <f t="shared" si="105"/>
        <v>0</v>
      </c>
      <c r="T144" s="7">
        <f t="shared" si="59"/>
        <v>0</v>
      </c>
      <c r="U144" s="7">
        <f t="shared" si="59"/>
        <v>0</v>
      </c>
      <c r="V144" s="7">
        <f t="shared" si="59"/>
        <v>0</v>
      </c>
    </row>
    <row r="145" spans="1:22" ht="18" customHeight="1" x14ac:dyDescent="0.25">
      <c r="A145" s="42"/>
      <c r="B145" s="42"/>
      <c r="C145" s="42"/>
      <c r="D145" s="5" t="s">
        <v>147</v>
      </c>
      <c r="E145" s="6"/>
      <c r="F145" s="15"/>
      <c r="G145" s="15">
        <f t="shared" si="101"/>
        <v>0</v>
      </c>
      <c r="H145" s="6"/>
      <c r="I145" s="15"/>
      <c r="J145" s="15">
        <f t="shared" si="102"/>
        <v>0</v>
      </c>
      <c r="K145" s="6"/>
      <c r="L145" s="15"/>
      <c r="M145" s="15">
        <f t="shared" si="103"/>
        <v>0</v>
      </c>
      <c r="N145" s="6"/>
      <c r="O145" s="15"/>
      <c r="P145" s="15">
        <f t="shared" si="104"/>
        <v>0</v>
      </c>
      <c r="Q145" s="6"/>
      <c r="R145" s="15"/>
      <c r="S145" s="15">
        <f t="shared" si="105"/>
        <v>0</v>
      </c>
      <c r="T145" s="7">
        <f t="shared" si="59"/>
        <v>0</v>
      </c>
      <c r="U145" s="7">
        <f t="shared" si="59"/>
        <v>0</v>
      </c>
      <c r="V145" s="7">
        <f t="shared" si="59"/>
        <v>0</v>
      </c>
    </row>
    <row r="146" spans="1:22" ht="18" customHeight="1" x14ac:dyDescent="0.25">
      <c r="A146" s="42"/>
      <c r="B146" s="42"/>
      <c r="C146" s="43"/>
      <c r="D146" s="9" t="s">
        <v>23</v>
      </c>
      <c r="E146" s="10">
        <f t="shared" ref="E146:S146" si="106">SUM(E142:E145)</f>
        <v>0</v>
      </c>
      <c r="F146" s="10">
        <f t="shared" si="106"/>
        <v>0</v>
      </c>
      <c r="G146" s="10">
        <f t="shared" si="106"/>
        <v>0</v>
      </c>
      <c r="H146" s="10">
        <f t="shared" si="106"/>
        <v>0</v>
      </c>
      <c r="I146" s="10">
        <f t="shared" si="106"/>
        <v>0</v>
      </c>
      <c r="J146" s="10">
        <f t="shared" si="106"/>
        <v>0</v>
      </c>
      <c r="K146" s="10">
        <f t="shared" si="106"/>
        <v>0</v>
      </c>
      <c r="L146" s="10">
        <f t="shared" si="106"/>
        <v>0</v>
      </c>
      <c r="M146" s="10">
        <f t="shared" si="106"/>
        <v>0</v>
      </c>
      <c r="N146" s="10">
        <f t="shared" si="106"/>
        <v>0</v>
      </c>
      <c r="O146" s="10">
        <f t="shared" si="106"/>
        <v>0</v>
      </c>
      <c r="P146" s="10">
        <f t="shared" si="106"/>
        <v>0</v>
      </c>
      <c r="Q146" s="10">
        <f t="shared" si="106"/>
        <v>0</v>
      </c>
      <c r="R146" s="10">
        <f t="shared" si="106"/>
        <v>0</v>
      </c>
      <c r="S146" s="10">
        <f t="shared" si="106"/>
        <v>0</v>
      </c>
      <c r="T146" s="12">
        <f t="shared" si="59"/>
        <v>0</v>
      </c>
      <c r="U146" s="12">
        <f t="shared" si="59"/>
        <v>0</v>
      </c>
      <c r="V146" s="12">
        <f t="shared" si="59"/>
        <v>0</v>
      </c>
    </row>
    <row r="147" spans="1:22" ht="18" customHeight="1" x14ac:dyDescent="0.25">
      <c r="A147" s="42"/>
      <c r="B147" s="42"/>
      <c r="C147" s="41" t="s">
        <v>148</v>
      </c>
      <c r="D147" s="5" t="s">
        <v>149</v>
      </c>
      <c r="E147" s="6"/>
      <c r="F147" s="6"/>
      <c r="G147" s="15">
        <f t="shared" ref="G147:G152" si="107">SUM(E147:F147)</f>
        <v>0</v>
      </c>
      <c r="H147" s="6"/>
      <c r="I147" s="6"/>
      <c r="J147" s="15">
        <f t="shared" ref="J147:J152" si="108">SUM(H147:I147)</f>
        <v>0</v>
      </c>
      <c r="K147" s="6"/>
      <c r="L147" s="6"/>
      <c r="M147" s="15">
        <f t="shared" ref="M147:M152" si="109">SUM(K147:L147)</f>
        <v>0</v>
      </c>
      <c r="N147" s="6"/>
      <c r="O147" s="6"/>
      <c r="P147" s="15">
        <f t="shared" ref="P147:P152" si="110">SUM(N147:O147)</f>
        <v>0</v>
      </c>
      <c r="Q147" s="6"/>
      <c r="R147" s="6"/>
      <c r="S147" s="15">
        <f t="shared" ref="S147:S152" si="111">SUM(Q147:R147)</f>
        <v>0</v>
      </c>
      <c r="T147" s="7">
        <f t="shared" si="59"/>
        <v>0</v>
      </c>
      <c r="U147" s="7">
        <f t="shared" si="59"/>
        <v>0</v>
      </c>
      <c r="V147" s="7">
        <f t="shared" si="59"/>
        <v>0</v>
      </c>
    </row>
    <row r="148" spans="1:22" ht="18" customHeight="1" x14ac:dyDescent="0.25">
      <c r="A148" s="42"/>
      <c r="B148" s="42"/>
      <c r="C148" s="42"/>
      <c r="D148" s="5" t="s">
        <v>150</v>
      </c>
      <c r="E148" s="6"/>
      <c r="F148" s="6"/>
      <c r="G148" s="15">
        <f t="shared" si="107"/>
        <v>0</v>
      </c>
      <c r="H148" s="6"/>
      <c r="I148" s="6"/>
      <c r="J148" s="15">
        <f t="shared" si="108"/>
        <v>0</v>
      </c>
      <c r="K148" s="6"/>
      <c r="L148" s="6"/>
      <c r="M148" s="15">
        <f t="shared" si="109"/>
        <v>0</v>
      </c>
      <c r="N148" s="6"/>
      <c r="O148" s="6"/>
      <c r="P148" s="15">
        <f t="shared" si="110"/>
        <v>0</v>
      </c>
      <c r="Q148" s="6"/>
      <c r="R148" s="6"/>
      <c r="S148" s="15">
        <f t="shared" si="111"/>
        <v>0</v>
      </c>
      <c r="T148" s="7">
        <f t="shared" si="59"/>
        <v>0</v>
      </c>
      <c r="U148" s="7">
        <f t="shared" si="59"/>
        <v>0</v>
      </c>
      <c r="V148" s="7">
        <f t="shared" si="59"/>
        <v>0</v>
      </c>
    </row>
    <row r="149" spans="1:22" ht="18" customHeight="1" x14ac:dyDescent="0.25">
      <c r="A149" s="42"/>
      <c r="B149" s="42"/>
      <c r="C149" s="42"/>
      <c r="D149" s="5" t="s">
        <v>151</v>
      </c>
      <c r="E149" s="6"/>
      <c r="F149" s="6"/>
      <c r="G149" s="15">
        <f t="shared" si="107"/>
        <v>0</v>
      </c>
      <c r="H149" s="6"/>
      <c r="I149" s="6"/>
      <c r="J149" s="15">
        <f t="shared" si="108"/>
        <v>0</v>
      </c>
      <c r="K149" s="6"/>
      <c r="L149" s="6"/>
      <c r="M149" s="15">
        <f t="shared" si="109"/>
        <v>0</v>
      </c>
      <c r="N149" s="6"/>
      <c r="O149" s="6"/>
      <c r="P149" s="15">
        <f t="shared" si="110"/>
        <v>0</v>
      </c>
      <c r="Q149" s="6"/>
      <c r="R149" s="6"/>
      <c r="S149" s="15">
        <f t="shared" si="111"/>
        <v>0</v>
      </c>
      <c r="T149" s="7">
        <f t="shared" si="59"/>
        <v>0</v>
      </c>
      <c r="U149" s="7">
        <f t="shared" si="59"/>
        <v>0</v>
      </c>
      <c r="V149" s="7">
        <f t="shared" si="59"/>
        <v>0</v>
      </c>
    </row>
    <row r="150" spans="1:22" ht="18" customHeight="1" x14ac:dyDescent="0.25">
      <c r="A150" s="42"/>
      <c r="B150" s="42"/>
      <c r="C150" s="42"/>
      <c r="D150" s="5" t="s">
        <v>152</v>
      </c>
      <c r="E150" s="6"/>
      <c r="F150" s="6"/>
      <c r="G150" s="15">
        <f t="shared" si="107"/>
        <v>0</v>
      </c>
      <c r="H150" s="6"/>
      <c r="I150" s="6"/>
      <c r="J150" s="15">
        <f t="shared" si="108"/>
        <v>0</v>
      </c>
      <c r="K150" s="6"/>
      <c r="L150" s="6"/>
      <c r="M150" s="15">
        <f t="shared" si="109"/>
        <v>0</v>
      </c>
      <c r="N150" s="6"/>
      <c r="O150" s="6"/>
      <c r="P150" s="15">
        <f t="shared" si="110"/>
        <v>0</v>
      </c>
      <c r="Q150" s="6"/>
      <c r="R150" s="6"/>
      <c r="S150" s="15">
        <f t="shared" si="111"/>
        <v>0</v>
      </c>
      <c r="T150" s="7">
        <f t="shared" si="59"/>
        <v>0</v>
      </c>
      <c r="U150" s="7">
        <f t="shared" si="59"/>
        <v>0</v>
      </c>
      <c r="V150" s="7">
        <f t="shared" si="59"/>
        <v>0</v>
      </c>
    </row>
    <row r="151" spans="1:22" ht="18" customHeight="1" x14ac:dyDescent="0.25">
      <c r="A151" s="42"/>
      <c r="B151" s="42"/>
      <c r="C151" s="42"/>
      <c r="D151" s="5" t="s">
        <v>153</v>
      </c>
      <c r="E151" s="6"/>
      <c r="F151" s="6"/>
      <c r="G151" s="15">
        <f t="shared" si="107"/>
        <v>0</v>
      </c>
      <c r="H151" s="6"/>
      <c r="I151" s="6"/>
      <c r="J151" s="15">
        <f t="shared" si="108"/>
        <v>0</v>
      </c>
      <c r="K151" s="6"/>
      <c r="L151" s="6"/>
      <c r="M151" s="15">
        <f t="shared" si="109"/>
        <v>0</v>
      </c>
      <c r="N151" s="6"/>
      <c r="O151" s="6"/>
      <c r="P151" s="15">
        <f t="shared" si="110"/>
        <v>0</v>
      </c>
      <c r="Q151" s="6"/>
      <c r="R151" s="6"/>
      <c r="S151" s="15">
        <f t="shared" si="111"/>
        <v>0</v>
      </c>
      <c r="T151" s="7">
        <f t="shared" si="59"/>
        <v>0</v>
      </c>
      <c r="U151" s="7">
        <f t="shared" si="59"/>
        <v>0</v>
      </c>
      <c r="V151" s="7">
        <f t="shared" si="59"/>
        <v>0</v>
      </c>
    </row>
    <row r="152" spans="1:22" ht="18" customHeight="1" x14ac:dyDescent="0.25">
      <c r="A152" s="42"/>
      <c r="B152" s="42"/>
      <c r="C152" s="42"/>
      <c r="D152" s="5" t="s">
        <v>154</v>
      </c>
      <c r="E152" s="6"/>
      <c r="F152" s="6"/>
      <c r="G152" s="15">
        <f t="shared" si="107"/>
        <v>0</v>
      </c>
      <c r="H152" s="6"/>
      <c r="I152" s="6"/>
      <c r="J152" s="15">
        <f t="shared" si="108"/>
        <v>0</v>
      </c>
      <c r="K152" s="6"/>
      <c r="L152" s="6"/>
      <c r="M152" s="15">
        <f t="shared" si="109"/>
        <v>0</v>
      </c>
      <c r="N152" s="6"/>
      <c r="O152" s="6"/>
      <c r="P152" s="15">
        <f t="shared" si="110"/>
        <v>0</v>
      </c>
      <c r="Q152" s="6"/>
      <c r="R152" s="6"/>
      <c r="S152" s="15">
        <f t="shared" si="111"/>
        <v>0</v>
      </c>
      <c r="T152" s="7">
        <f t="shared" si="59"/>
        <v>0</v>
      </c>
      <c r="U152" s="7">
        <f t="shared" si="59"/>
        <v>0</v>
      </c>
      <c r="V152" s="7">
        <f t="shared" si="59"/>
        <v>0</v>
      </c>
    </row>
    <row r="153" spans="1:22" ht="18" customHeight="1" x14ac:dyDescent="0.25">
      <c r="A153" s="42"/>
      <c r="B153" s="42"/>
      <c r="C153" s="43"/>
      <c r="D153" s="9" t="s">
        <v>23</v>
      </c>
      <c r="E153" s="10">
        <f t="shared" ref="E153:S153" si="112">SUM(E147:E152)</f>
        <v>0</v>
      </c>
      <c r="F153" s="10">
        <f t="shared" si="112"/>
        <v>0</v>
      </c>
      <c r="G153" s="10">
        <f t="shared" si="112"/>
        <v>0</v>
      </c>
      <c r="H153" s="10">
        <f t="shared" si="112"/>
        <v>0</v>
      </c>
      <c r="I153" s="10">
        <f t="shared" si="112"/>
        <v>0</v>
      </c>
      <c r="J153" s="10">
        <f t="shared" si="112"/>
        <v>0</v>
      </c>
      <c r="K153" s="10">
        <f t="shared" si="112"/>
        <v>0</v>
      </c>
      <c r="L153" s="10">
        <f t="shared" si="112"/>
        <v>0</v>
      </c>
      <c r="M153" s="10">
        <f t="shared" si="112"/>
        <v>0</v>
      </c>
      <c r="N153" s="10">
        <f t="shared" si="112"/>
        <v>0</v>
      </c>
      <c r="O153" s="10">
        <f t="shared" si="112"/>
        <v>0</v>
      </c>
      <c r="P153" s="10">
        <f t="shared" si="112"/>
        <v>0</v>
      </c>
      <c r="Q153" s="10">
        <f t="shared" si="112"/>
        <v>0</v>
      </c>
      <c r="R153" s="10">
        <f t="shared" si="112"/>
        <v>0</v>
      </c>
      <c r="S153" s="10">
        <f t="shared" si="112"/>
        <v>0</v>
      </c>
      <c r="T153" s="12">
        <f t="shared" ref="T153:V215" si="113">SUM(E153,H153,K153,N153,Q153)</f>
        <v>0</v>
      </c>
      <c r="U153" s="12">
        <f t="shared" si="113"/>
        <v>0</v>
      </c>
      <c r="V153" s="12">
        <f t="shared" si="113"/>
        <v>0</v>
      </c>
    </row>
    <row r="154" spans="1:22" ht="18" customHeight="1" x14ac:dyDescent="0.25">
      <c r="A154" s="42"/>
      <c r="B154" s="42"/>
      <c r="C154" s="41" t="s">
        <v>155</v>
      </c>
      <c r="D154" s="5" t="s">
        <v>156</v>
      </c>
      <c r="E154" s="6"/>
      <c r="F154" s="6"/>
      <c r="G154" s="15">
        <f t="shared" ref="G154:G159" si="114">SUM(E154:F154)</f>
        <v>0</v>
      </c>
      <c r="H154" s="6"/>
      <c r="I154" s="6"/>
      <c r="J154" s="15">
        <f t="shared" ref="J154:J159" si="115">SUM(H154:I154)</f>
        <v>0</v>
      </c>
      <c r="K154" s="6"/>
      <c r="L154" s="6"/>
      <c r="M154" s="15">
        <f t="shared" ref="M154:M159" si="116">SUM(K154:L154)</f>
        <v>0</v>
      </c>
      <c r="N154" s="6"/>
      <c r="O154" s="6"/>
      <c r="P154" s="15">
        <f t="shared" ref="P154:P159" si="117">SUM(N154:O154)</f>
        <v>0</v>
      </c>
      <c r="Q154" s="6"/>
      <c r="R154" s="6"/>
      <c r="S154" s="15">
        <f t="shared" ref="S154:S159" si="118">SUM(Q154:R154)</f>
        <v>0</v>
      </c>
      <c r="T154" s="7">
        <f t="shared" si="113"/>
        <v>0</v>
      </c>
      <c r="U154" s="7">
        <f t="shared" si="113"/>
        <v>0</v>
      </c>
      <c r="V154" s="7">
        <f t="shared" si="113"/>
        <v>0</v>
      </c>
    </row>
    <row r="155" spans="1:22" ht="18" customHeight="1" x14ac:dyDescent="0.25">
      <c r="A155" s="42"/>
      <c r="B155" s="42"/>
      <c r="C155" s="42"/>
      <c r="D155" s="5" t="s">
        <v>157</v>
      </c>
      <c r="E155" s="6"/>
      <c r="F155" s="6"/>
      <c r="G155" s="15">
        <f t="shared" si="114"/>
        <v>0</v>
      </c>
      <c r="H155" s="6"/>
      <c r="I155" s="6"/>
      <c r="J155" s="15">
        <f t="shared" si="115"/>
        <v>0</v>
      </c>
      <c r="K155" s="6"/>
      <c r="L155" s="6"/>
      <c r="M155" s="15">
        <f t="shared" si="116"/>
        <v>0</v>
      </c>
      <c r="N155" s="6"/>
      <c r="O155" s="6"/>
      <c r="P155" s="15">
        <f t="shared" si="117"/>
        <v>0</v>
      </c>
      <c r="Q155" s="6"/>
      <c r="R155" s="6"/>
      <c r="S155" s="15">
        <f t="shared" si="118"/>
        <v>0</v>
      </c>
      <c r="T155" s="7">
        <f t="shared" si="113"/>
        <v>0</v>
      </c>
      <c r="U155" s="7">
        <f t="shared" si="113"/>
        <v>0</v>
      </c>
      <c r="V155" s="7">
        <f t="shared" si="113"/>
        <v>0</v>
      </c>
    </row>
    <row r="156" spans="1:22" ht="18" customHeight="1" x14ac:dyDescent="0.25">
      <c r="A156" s="42"/>
      <c r="B156" s="42"/>
      <c r="C156" s="42"/>
      <c r="D156" s="5" t="s">
        <v>158</v>
      </c>
      <c r="E156" s="6"/>
      <c r="F156" s="6"/>
      <c r="G156" s="15">
        <f t="shared" si="114"/>
        <v>0</v>
      </c>
      <c r="H156" s="6"/>
      <c r="I156" s="6"/>
      <c r="J156" s="15">
        <f t="shared" si="115"/>
        <v>0</v>
      </c>
      <c r="K156" s="6"/>
      <c r="L156" s="6"/>
      <c r="M156" s="15">
        <f t="shared" si="116"/>
        <v>0</v>
      </c>
      <c r="N156" s="6"/>
      <c r="O156" s="6"/>
      <c r="P156" s="15">
        <f t="shared" si="117"/>
        <v>0</v>
      </c>
      <c r="Q156" s="6"/>
      <c r="R156" s="6"/>
      <c r="S156" s="15">
        <f t="shared" si="118"/>
        <v>0</v>
      </c>
      <c r="T156" s="7">
        <f t="shared" si="113"/>
        <v>0</v>
      </c>
      <c r="U156" s="7">
        <f t="shared" si="113"/>
        <v>0</v>
      </c>
      <c r="V156" s="7">
        <f t="shared" si="113"/>
        <v>0</v>
      </c>
    </row>
    <row r="157" spans="1:22" ht="18" customHeight="1" x14ac:dyDescent="0.25">
      <c r="A157" s="42"/>
      <c r="B157" s="42"/>
      <c r="C157" s="42"/>
      <c r="D157" s="5" t="s">
        <v>159</v>
      </c>
      <c r="E157" s="6"/>
      <c r="F157" s="6"/>
      <c r="G157" s="15">
        <f t="shared" si="114"/>
        <v>0</v>
      </c>
      <c r="H157" s="6"/>
      <c r="I157" s="6"/>
      <c r="J157" s="15">
        <f t="shared" si="115"/>
        <v>0</v>
      </c>
      <c r="K157" s="6"/>
      <c r="L157" s="6"/>
      <c r="M157" s="15">
        <f t="shared" si="116"/>
        <v>0</v>
      </c>
      <c r="N157" s="6"/>
      <c r="O157" s="6"/>
      <c r="P157" s="15">
        <f t="shared" si="117"/>
        <v>0</v>
      </c>
      <c r="Q157" s="6"/>
      <c r="R157" s="6"/>
      <c r="S157" s="15">
        <f t="shared" si="118"/>
        <v>0</v>
      </c>
      <c r="T157" s="7">
        <f t="shared" si="113"/>
        <v>0</v>
      </c>
      <c r="U157" s="7">
        <f t="shared" si="113"/>
        <v>0</v>
      </c>
      <c r="V157" s="7">
        <f t="shared" si="113"/>
        <v>0</v>
      </c>
    </row>
    <row r="158" spans="1:22" ht="18" customHeight="1" x14ac:dyDescent="0.25">
      <c r="A158" s="42"/>
      <c r="B158" s="42"/>
      <c r="C158" s="42"/>
      <c r="D158" s="5" t="s">
        <v>160</v>
      </c>
      <c r="E158" s="6"/>
      <c r="F158" s="6"/>
      <c r="G158" s="15">
        <f t="shared" si="114"/>
        <v>0</v>
      </c>
      <c r="H158" s="6"/>
      <c r="I158" s="6"/>
      <c r="J158" s="15">
        <f t="shared" si="115"/>
        <v>0</v>
      </c>
      <c r="K158" s="6"/>
      <c r="L158" s="6"/>
      <c r="M158" s="15">
        <f t="shared" si="116"/>
        <v>0</v>
      </c>
      <c r="N158" s="6"/>
      <c r="O158" s="6"/>
      <c r="P158" s="15">
        <f t="shared" si="117"/>
        <v>0</v>
      </c>
      <c r="Q158" s="6"/>
      <c r="R158" s="6"/>
      <c r="S158" s="15">
        <f t="shared" si="118"/>
        <v>0</v>
      </c>
      <c r="T158" s="7">
        <f t="shared" si="113"/>
        <v>0</v>
      </c>
      <c r="U158" s="7">
        <f t="shared" si="113"/>
        <v>0</v>
      </c>
      <c r="V158" s="7">
        <f t="shared" si="113"/>
        <v>0</v>
      </c>
    </row>
    <row r="159" spans="1:22" ht="18" customHeight="1" x14ac:dyDescent="0.25">
      <c r="A159" s="42"/>
      <c r="B159" s="42"/>
      <c r="C159" s="42"/>
      <c r="D159" s="5" t="s">
        <v>161</v>
      </c>
      <c r="E159" s="6"/>
      <c r="F159" s="6"/>
      <c r="G159" s="15">
        <f t="shared" si="114"/>
        <v>0</v>
      </c>
      <c r="H159" s="6"/>
      <c r="I159" s="6"/>
      <c r="J159" s="15">
        <f t="shared" si="115"/>
        <v>0</v>
      </c>
      <c r="K159" s="6"/>
      <c r="L159" s="6"/>
      <c r="M159" s="15">
        <f t="shared" si="116"/>
        <v>0</v>
      </c>
      <c r="N159" s="6"/>
      <c r="O159" s="6"/>
      <c r="P159" s="15">
        <f t="shared" si="117"/>
        <v>0</v>
      </c>
      <c r="Q159" s="6"/>
      <c r="R159" s="6"/>
      <c r="S159" s="15">
        <f t="shared" si="118"/>
        <v>0</v>
      </c>
      <c r="T159" s="7">
        <f t="shared" si="113"/>
        <v>0</v>
      </c>
      <c r="U159" s="7">
        <f t="shared" si="113"/>
        <v>0</v>
      </c>
      <c r="V159" s="7">
        <f t="shared" si="113"/>
        <v>0</v>
      </c>
    </row>
    <row r="160" spans="1:22" ht="18" customHeight="1" x14ac:dyDescent="0.25">
      <c r="A160" s="42"/>
      <c r="B160" s="42"/>
      <c r="C160" s="43"/>
      <c r="D160" s="9" t="s">
        <v>23</v>
      </c>
      <c r="E160" s="10">
        <f t="shared" ref="E160:S160" si="119">SUM(E154:E159)</f>
        <v>0</v>
      </c>
      <c r="F160" s="10">
        <f t="shared" si="119"/>
        <v>0</v>
      </c>
      <c r="G160" s="10">
        <f t="shared" si="119"/>
        <v>0</v>
      </c>
      <c r="H160" s="10">
        <f t="shared" si="119"/>
        <v>0</v>
      </c>
      <c r="I160" s="10">
        <f t="shared" si="119"/>
        <v>0</v>
      </c>
      <c r="J160" s="10">
        <f t="shared" si="119"/>
        <v>0</v>
      </c>
      <c r="K160" s="10">
        <f t="shared" si="119"/>
        <v>0</v>
      </c>
      <c r="L160" s="10">
        <f t="shared" si="119"/>
        <v>0</v>
      </c>
      <c r="M160" s="10">
        <f t="shared" si="119"/>
        <v>0</v>
      </c>
      <c r="N160" s="10">
        <f t="shared" si="119"/>
        <v>0</v>
      </c>
      <c r="O160" s="10">
        <f t="shared" si="119"/>
        <v>0</v>
      </c>
      <c r="P160" s="10">
        <f t="shared" si="119"/>
        <v>0</v>
      </c>
      <c r="Q160" s="10">
        <f t="shared" si="119"/>
        <v>0</v>
      </c>
      <c r="R160" s="10">
        <f t="shared" si="119"/>
        <v>0</v>
      </c>
      <c r="S160" s="10">
        <f t="shared" si="119"/>
        <v>0</v>
      </c>
      <c r="T160" s="12">
        <f t="shared" si="113"/>
        <v>0</v>
      </c>
      <c r="U160" s="12">
        <f t="shared" si="113"/>
        <v>0</v>
      </c>
      <c r="V160" s="12">
        <f t="shared" si="113"/>
        <v>0</v>
      </c>
    </row>
    <row r="161" spans="1:22" ht="18" customHeight="1" x14ac:dyDescent="0.25">
      <c r="A161" s="42"/>
      <c r="B161" s="42"/>
      <c r="C161" s="41" t="s">
        <v>162</v>
      </c>
      <c r="D161" s="5" t="s">
        <v>163</v>
      </c>
      <c r="E161" s="6"/>
      <c r="F161" s="6"/>
      <c r="G161" s="15">
        <f t="shared" ref="G161:G167" si="120">SUM(E161:F161)</f>
        <v>0</v>
      </c>
      <c r="H161" s="6"/>
      <c r="I161" s="6"/>
      <c r="J161" s="15">
        <f t="shared" ref="J161:J167" si="121">SUM(H161:I161)</f>
        <v>0</v>
      </c>
      <c r="K161" s="6"/>
      <c r="L161" s="6"/>
      <c r="M161" s="15">
        <f t="shared" ref="M161:M167" si="122">SUM(K161:L161)</f>
        <v>0</v>
      </c>
      <c r="N161" s="6"/>
      <c r="O161" s="6"/>
      <c r="P161" s="15">
        <f t="shared" ref="P161:P167" si="123">SUM(N161:O161)</f>
        <v>0</v>
      </c>
      <c r="Q161" s="6"/>
      <c r="R161" s="6"/>
      <c r="S161" s="15">
        <f t="shared" ref="S161:S167" si="124">SUM(Q161:R161)</f>
        <v>0</v>
      </c>
      <c r="T161" s="7">
        <f t="shared" si="113"/>
        <v>0</v>
      </c>
      <c r="U161" s="7">
        <f t="shared" si="113"/>
        <v>0</v>
      </c>
      <c r="V161" s="7">
        <f t="shared" si="113"/>
        <v>0</v>
      </c>
    </row>
    <row r="162" spans="1:22" ht="18" customHeight="1" x14ac:dyDescent="0.25">
      <c r="A162" s="42"/>
      <c r="B162" s="42"/>
      <c r="C162" s="42"/>
      <c r="D162" s="5" t="s">
        <v>164</v>
      </c>
      <c r="E162" s="6"/>
      <c r="F162" s="6"/>
      <c r="G162" s="15">
        <f t="shared" si="120"/>
        <v>0</v>
      </c>
      <c r="H162" s="6"/>
      <c r="I162" s="6"/>
      <c r="J162" s="15">
        <f t="shared" si="121"/>
        <v>0</v>
      </c>
      <c r="K162" s="6"/>
      <c r="L162" s="6"/>
      <c r="M162" s="15">
        <f t="shared" si="122"/>
        <v>0</v>
      </c>
      <c r="N162" s="6"/>
      <c r="O162" s="6"/>
      <c r="P162" s="15">
        <f t="shared" si="123"/>
        <v>0</v>
      </c>
      <c r="Q162" s="6"/>
      <c r="R162" s="6"/>
      <c r="S162" s="15">
        <f t="shared" si="124"/>
        <v>0</v>
      </c>
      <c r="T162" s="7">
        <f t="shared" si="113"/>
        <v>0</v>
      </c>
      <c r="U162" s="7">
        <f t="shared" si="113"/>
        <v>0</v>
      </c>
      <c r="V162" s="7">
        <f t="shared" si="113"/>
        <v>0</v>
      </c>
    </row>
    <row r="163" spans="1:22" ht="18" customHeight="1" x14ac:dyDescent="0.25">
      <c r="A163" s="42"/>
      <c r="B163" s="42"/>
      <c r="C163" s="42"/>
      <c r="D163" s="5" t="s">
        <v>165</v>
      </c>
      <c r="E163" s="6"/>
      <c r="F163" s="6"/>
      <c r="G163" s="15">
        <f t="shared" si="120"/>
        <v>0</v>
      </c>
      <c r="H163" s="6"/>
      <c r="I163" s="6"/>
      <c r="J163" s="15">
        <f t="shared" si="121"/>
        <v>0</v>
      </c>
      <c r="K163" s="6"/>
      <c r="L163" s="6"/>
      <c r="M163" s="15">
        <f t="shared" si="122"/>
        <v>0</v>
      </c>
      <c r="N163" s="6"/>
      <c r="O163" s="6"/>
      <c r="P163" s="15">
        <f t="shared" si="123"/>
        <v>0</v>
      </c>
      <c r="Q163" s="6"/>
      <c r="R163" s="6"/>
      <c r="S163" s="15">
        <f t="shared" si="124"/>
        <v>0</v>
      </c>
      <c r="T163" s="7">
        <f t="shared" si="113"/>
        <v>0</v>
      </c>
      <c r="U163" s="7">
        <f t="shared" si="113"/>
        <v>0</v>
      </c>
      <c r="V163" s="7">
        <f t="shared" si="113"/>
        <v>0</v>
      </c>
    </row>
    <row r="164" spans="1:22" ht="18" customHeight="1" x14ac:dyDescent="0.25">
      <c r="A164" s="42"/>
      <c r="B164" s="42"/>
      <c r="C164" s="42"/>
      <c r="D164" s="5" t="s">
        <v>166</v>
      </c>
      <c r="E164" s="6"/>
      <c r="F164" s="6"/>
      <c r="G164" s="15">
        <f t="shared" si="120"/>
        <v>0</v>
      </c>
      <c r="H164" s="6"/>
      <c r="I164" s="6"/>
      <c r="J164" s="15">
        <f t="shared" si="121"/>
        <v>0</v>
      </c>
      <c r="K164" s="6"/>
      <c r="L164" s="6"/>
      <c r="M164" s="15">
        <f t="shared" si="122"/>
        <v>0</v>
      </c>
      <c r="N164" s="6"/>
      <c r="O164" s="6"/>
      <c r="P164" s="15">
        <f t="shared" si="123"/>
        <v>0</v>
      </c>
      <c r="Q164" s="6"/>
      <c r="R164" s="6"/>
      <c r="S164" s="15">
        <f t="shared" si="124"/>
        <v>0</v>
      </c>
      <c r="T164" s="7">
        <f t="shared" si="113"/>
        <v>0</v>
      </c>
      <c r="U164" s="7">
        <f t="shared" si="113"/>
        <v>0</v>
      </c>
      <c r="V164" s="7">
        <f t="shared" si="113"/>
        <v>0</v>
      </c>
    </row>
    <row r="165" spans="1:22" ht="18" customHeight="1" x14ac:dyDescent="0.25">
      <c r="A165" s="42"/>
      <c r="B165" s="42"/>
      <c r="C165" s="42"/>
      <c r="D165" s="5" t="s">
        <v>167</v>
      </c>
      <c r="E165" s="6"/>
      <c r="F165" s="6"/>
      <c r="G165" s="15">
        <f t="shared" si="120"/>
        <v>0</v>
      </c>
      <c r="H165" s="6"/>
      <c r="I165" s="6"/>
      <c r="J165" s="15">
        <f t="shared" si="121"/>
        <v>0</v>
      </c>
      <c r="K165" s="6"/>
      <c r="L165" s="6"/>
      <c r="M165" s="15">
        <f t="shared" si="122"/>
        <v>0</v>
      </c>
      <c r="N165" s="6"/>
      <c r="O165" s="6"/>
      <c r="P165" s="15">
        <f t="shared" si="123"/>
        <v>0</v>
      </c>
      <c r="Q165" s="6"/>
      <c r="R165" s="6"/>
      <c r="S165" s="15">
        <f t="shared" si="124"/>
        <v>0</v>
      </c>
      <c r="T165" s="7">
        <f t="shared" si="113"/>
        <v>0</v>
      </c>
      <c r="U165" s="7">
        <f t="shared" si="113"/>
        <v>0</v>
      </c>
      <c r="V165" s="7">
        <f t="shared" si="113"/>
        <v>0</v>
      </c>
    </row>
    <row r="166" spans="1:22" ht="18" customHeight="1" x14ac:dyDescent="0.25">
      <c r="A166" s="42"/>
      <c r="B166" s="42"/>
      <c r="C166" s="42"/>
      <c r="D166" s="5" t="s">
        <v>168</v>
      </c>
      <c r="E166" s="6"/>
      <c r="F166" s="6"/>
      <c r="G166" s="15">
        <f t="shared" si="120"/>
        <v>0</v>
      </c>
      <c r="H166" s="6"/>
      <c r="I166" s="6"/>
      <c r="J166" s="15">
        <f t="shared" si="121"/>
        <v>0</v>
      </c>
      <c r="K166" s="6"/>
      <c r="L166" s="6"/>
      <c r="M166" s="15">
        <f t="shared" si="122"/>
        <v>0</v>
      </c>
      <c r="N166" s="6"/>
      <c r="O166" s="6"/>
      <c r="P166" s="15">
        <f t="shared" si="123"/>
        <v>0</v>
      </c>
      <c r="Q166" s="6"/>
      <c r="R166" s="6"/>
      <c r="S166" s="15">
        <f t="shared" si="124"/>
        <v>0</v>
      </c>
      <c r="T166" s="7">
        <f t="shared" si="113"/>
        <v>0</v>
      </c>
      <c r="U166" s="7">
        <f t="shared" si="113"/>
        <v>0</v>
      </c>
      <c r="V166" s="7">
        <f t="shared" si="113"/>
        <v>0</v>
      </c>
    </row>
    <row r="167" spans="1:22" ht="18" customHeight="1" x14ac:dyDescent="0.25">
      <c r="A167" s="42"/>
      <c r="B167" s="42"/>
      <c r="C167" s="42"/>
      <c r="D167" s="5" t="s">
        <v>169</v>
      </c>
      <c r="E167" s="6"/>
      <c r="F167" s="6"/>
      <c r="G167" s="15">
        <f t="shared" si="120"/>
        <v>0</v>
      </c>
      <c r="H167" s="6"/>
      <c r="I167" s="6"/>
      <c r="J167" s="15">
        <f t="shared" si="121"/>
        <v>0</v>
      </c>
      <c r="K167" s="6"/>
      <c r="L167" s="6"/>
      <c r="M167" s="15">
        <f t="shared" si="122"/>
        <v>0</v>
      </c>
      <c r="N167" s="6"/>
      <c r="O167" s="6"/>
      <c r="P167" s="15">
        <f t="shared" si="123"/>
        <v>0</v>
      </c>
      <c r="Q167" s="6"/>
      <c r="R167" s="6"/>
      <c r="S167" s="15">
        <f t="shared" si="124"/>
        <v>0</v>
      </c>
      <c r="T167" s="7">
        <f t="shared" si="113"/>
        <v>0</v>
      </c>
      <c r="U167" s="7">
        <f t="shared" si="113"/>
        <v>0</v>
      </c>
      <c r="V167" s="7">
        <f t="shared" si="113"/>
        <v>0</v>
      </c>
    </row>
    <row r="168" spans="1:22" ht="18" customHeight="1" x14ac:dyDescent="0.25">
      <c r="A168" s="42"/>
      <c r="B168" s="42"/>
      <c r="C168" s="43"/>
      <c r="D168" s="9" t="s">
        <v>23</v>
      </c>
      <c r="E168" s="10">
        <f t="shared" ref="E168:S168" si="125">SUM(E161:E167)</f>
        <v>0</v>
      </c>
      <c r="F168" s="10">
        <f t="shared" si="125"/>
        <v>0</v>
      </c>
      <c r="G168" s="10">
        <f t="shared" si="125"/>
        <v>0</v>
      </c>
      <c r="H168" s="10">
        <f t="shared" si="125"/>
        <v>0</v>
      </c>
      <c r="I168" s="10">
        <f t="shared" si="125"/>
        <v>0</v>
      </c>
      <c r="J168" s="10">
        <f t="shared" si="125"/>
        <v>0</v>
      </c>
      <c r="K168" s="10">
        <f t="shared" si="125"/>
        <v>0</v>
      </c>
      <c r="L168" s="10">
        <f t="shared" si="125"/>
        <v>0</v>
      </c>
      <c r="M168" s="10">
        <f t="shared" si="125"/>
        <v>0</v>
      </c>
      <c r="N168" s="10">
        <f t="shared" si="125"/>
        <v>0</v>
      </c>
      <c r="O168" s="10">
        <f t="shared" si="125"/>
        <v>0</v>
      </c>
      <c r="P168" s="10">
        <f t="shared" si="125"/>
        <v>0</v>
      </c>
      <c r="Q168" s="10">
        <f t="shared" si="125"/>
        <v>0</v>
      </c>
      <c r="R168" s="10">
        <f t="shared" si="125"/>
        <v>0</v>
      </c>
      <c r="S168" s="10">
        <f t="shared" si="125"/>
        <v>0</v>
      </c>
      <c r="T168" s="12">
        <f t="shared" si="113"/>
        <v>0</v>
      </c>
      <c r="U168" s="12">
        <f t="shared" si="113"/>
        <v>0</v>
      </c>
      <c r="V168" s="12">
        <f t="shared" si="113"/>
        <v>0</v>
      </c>
    </row>
    <row r="169" spans="1:22" ht="18" customHeight="1" x14ac:dyDescent="0.25">
      <c r="A169" s="42"/>
      <c r="B169" s="43"/>
      <c r="C169" s="39" t="s">
        <v>33</v>
      </c>
      <c r="D169" s="40"/>
      <c r="E169" s="16">
        <f t="shared" ref="E169:S169" si="126">SUM(E114,E119,E123,E133,E141,E146,E153,E160,E168)</f>
        <v>14</v>
      </c>
      <c r="F169" s="16">
        <f t="shared" si="126"/>
        <v>5</v>
      </c>
      <c r="G169" s="16">
        <f t="shared" si="126"/>
        <v>19</v>
      </c>
      <c r="H169" s="16">
        <f t="shared" si="126"/>
        <v>0</v>
      </c>
      <c r="I169" s="16">
        <f t="shared" si="126"/>
        <v>0</v>
      </c>
      <c r="J169" s="16">
        <f t="shared" si="126"/>
        <v>0</v>
      </c>
      <c r="K169" s="16">
        <f t="shared" si="126"/>
        <v>0</v>
      </c>
      <c r="L169" s="16">
        <f t="shared" si="126"/>
        <v>0</v>
      </c>
      <c r="M169" s="16">
        <f t="shared" si="126"/>
        <v>0</v>
      </c>
      <c r="N169" s="16">
        <f t="shared" si="126"/>
        <v>0</v>
      </c>
      <c r="O169" s="16">
        <f t="shared" si="126"/>
        <v>0</v>
      </c>
      <c r="P169" s="16">
        <f t="shared" si="126"/>
        <v>0</v>
      </c>
      <c r="Q169" s="16">
        <f t="shared" si="126"/>
        <v>0</v>
      </c>
      <c r="R169" s="16">
        <f t="shared" si="126"/>
        <v>0</v>
      </c>
      <c r="S169" s="16">
        <f t="shared" si="126"/>
        <v>0</v>
      </c>
      <c r="T169" s="7">
        <f t="shared" si="113"/>
        <v>14</v>
      </c>
      <c r="U169" s="7">
        <f t="shared" si="113"/>
        <v>5</v>
      </c>
      <c r="V169" s="7">
        <f t="shared" si="113"/>
        <v>19</v>
      </c>
    </row>
    <row r="170" spans="1:22" ht="18" customHeight="1" x14ac:dyDescent="0.25">
      <c r="A170" s="42"/>
      <c r="B170" s="41" t="s">
        <v>170</v>
      </c>
      <c r="C170" s="41" t="s">
        <v>171</v>
      </c>
      <c r="D170" s="5" t="s">
        <v>172</v>
      </c>
      <c r="E170" s="6">
        <v>16</v>
      </c>
      <c r="F170" s="6">
        <v>18</v>
      </c>
      <c r="G170" s="15">
        <f t="shared" ref="G170:G176" si="127">SUM(E170:F170)</f>
        <v>34</v>
      </c>
      <c r="H170" s="6"/>
      <c r="I170" s="6"/>
      <c r="J170" s="15">
        <f t="shared" ref="J170" si="128">SUM(H170:I170)</f>
        <v>0</v>
      </c>
      <c r="K170" s="6"/>
      <c r="L170" s="6"/>
      <c r="M170" s="15">
        <f t="shared" ref="M170" si="129">SUM(K170:L170)</f>
        <v>0</v>
      </c>
      <c r="N170" s="6"/>
      <c r="O170" s="6"/>
      <c r="P170" s="15">
        <f t="shared" ref="P170" si="130">SUM(N170:O170)</f>
        <v>0</v>
      </c>
      <c r="Q170" s="6"/>
      <c r="R170" s="6"/>
      <c r="S170" s="15">
        <f t="shared" ref="S170" si="131">SUM(Q170:R170)</f>
        <v>0</v>
      </c>
      <c r="T170" s="7">
        <f t="shared" si="113"/>
        <v>16</v>
      </c>
      <c r="U170" s="7">
        <f t="shared" si="113"/>
        <v>18</v>
      </c>
      <c r="V170" s="7">
        <f t="shared" si="113"/>
        <v>34</v>
      </c>
    </row>
    <row r="171" spans="1:22" ht="18" customHeight="1" x14ac:dyDescent="0.25">
      <c r="A171" s="42"/>
      <c r="B171" s="42"/>
      <c r="C171" s="42"/>
      <c r="D171" s="5" t="s">
        <v>173</v>
      </c>
      <c r="E171" s="6">
        <v>3</v>
      </c>
      <c r="F171" s="6">
        <v>3</v>
      </c>
      <c r="G171" s="15">
        <f>SUM(E171:F171)</f>
        <v>6</v>
      </c>
      <c r="H171" s="6"/>
      <c r="I171" s="6"/>
      <c r="J171" s="15">
        <f>SUM(H171:I171)</f>
        <v>0</v>
      </c>
      <c r="K171" s="6"/>
      <c r="L171" s="6"/>
      <c r="M171" s="15">
        <f>SUM(K171:L171)</f>
        <v>0</v>
      </c>
      <c r="N171" s="6"/>
      <c r="O171" s="6"/>
      <c r="P171" s="15">
        <f>SUM(N171:O171)</f>
        <v>0</v>
      </c>
      <c r="Q171" s="6"/>
      <c r="R171" s="6"/>
      <c r="S171" s="15">
        <f>SUM(Q171:R171)</f>
        <v>0</v>
      </c>
      <c r="T171" s="7">
        <f t="shared" si="113"/>
        <v>3</v>
      </c>
      <c r="U171" s="7">
        <f t="shared" si="113"/>
        <v>3</v>
      </c>
      <c r="V171" s="7">
        <f t="shared" si="113"/>
        <v>6</v>
      </c>
    </row>
    <row r="172" spans="1:22" ht="18" customHeight="1" x14ac:dyDescent="0.25">
      <c r="A172" s="42"/>
      <c r="B172" s="42"/>
      <c r="C172" s="42"/>
      <c r="D172" s="5" t="s">
        <v>174</v>
      </c>
      <c r="E172" s="6">
        <v>0</v>
      </c>
      <c r="F172" s="6">
        <v>0</v>
      </c>
      <c r="G172" s="15">
        <f>SUM(E172:F172)</f>
        <v>0</v>
      </c>
      <c r="H172" s="6"/>
      <c r="I172" s="6"/>
      <c r="J172" s="15">
        <f>SUM(H172:I172)</f>
        <v>0</v>
      </c>
      <c r="K172" s="6"/>
      <c r="L172" s="6"/>
      <c r="M172" s="15">
        <f>SUM(K172:L172)</f>
        <v>0</v>
      </c>
      <c r="N172" s="6"/>
      <c r="O172" s="6"/>
      <c r="P172" s="15">
        <f>SUM(N172:O172)</f>
        <v>0</v>
      </c>
      <c r="Q172" s="6"/>
      <c r="R172" s="6"/>
      <c r="S172" s="15">
        <f>SUM(Q172:R172)</f>
        <v>0</v>
      </c>
      <c r="T172" s="7">
        <f t="shared" si="113"/>
        <v>0</v>
      </c>
      <c r="U172" s="7">
        <f t="shared" si="113"/>
        <v>0</v>
      </c>
      <c r="V172" s="7">
        <f t="shared" si="113"/>
        <v>0</v>
      </c>
    </row>
    <row r="173" spans="1:22" ht="18" customHeight="1" x14ac:dyDescent="0.25">
      <c r="A173" s="42"/>
      <c r="B173" s="42"/>
      <c r="C173" s="42"/>
      <c r="D173" s="5" t="s">
        <v>175</v>
      </c>
      <c r="E173" s="6">
        <v>6</v>
      </c>
      <c r="F173" s="6">
        <v>0</v>
      </c>
      <c r="G173" s="15">
        <f t="shared" si="127"/>
        <v>6</v>
      </c>
      <c r="H173" s="6"/>
      <c r="I173" s="6"/>
      <c r="J173" s="15">
        <f t="shared" ref="J173:J176" si="132">SUM(H173:I173)</f>
        <v>0</v>
      </c>
      <c r="K173" s="6"/>
      <c r="L173" s="6"/>
      <c r="M173" s="15">
        <f t="shared" ref="M173:M176" si="133">SUM(K173:L173)</f>
        <v>0</v>
      </c>
      <c r="N173" s="6"/>
      <c r="O173" s="6"/>
      <c r="P173" s="15">
        <f t="shared" ref="P173:P176" si="134">SUM(N173:O173)</f>
        <v>0</v>
      </c>
      <c r="Q173" s="6"/>
      <c r="R173" s="6"/>
      <c r="S173" s="15">
        <f t="shared" ref="S173:S176" si="135">SUM(Q173:R173)</f>
        <v>0</v>
      </c>
      <c r="T173" s="7">
        <f t="shared" si="113"/>
        <v>6</v>
      </c>
      <c r="U173" s="7">
        <f t="shared" si="113"/>
        <v>0</v>
      </c>
      <c r="V173" s="7">
        <f t="shared" si="113"/>
        <v>6</v>
      </c>
    </row>
    <row r="174" spans="1:22" ht="18" customHeight="1" x14ac:dyDescent="0.25">
      <c r="A174" s="42"/>
      <c r="B174" s="42"/>
      <c r="C174" s="42"/>
      <c r="D174" s="5" t="s">
        <v>176</v>
      </c>
      <c r="E174" s="6">
        <v>5</v>
      </c>
      <c r="F174" s="6">
        <v>0</v>
      </c>
      <c r="G174" s="15">
        <f t="shared" si="127"/>
        <v>5</v>
      </c>
      <c r="H174" s="6"/>
      <c r="I174" s="6"/>
      <c r="J174" s="15">
        <f t="shared" si="132"/>
        <v>0</v>
      </c>
      <c r="K174" s="6"/>
      <c r="L174" s="6"/>
      <c r="M174" s="15">
        <f t="shared" si="133"/>
        <v>0</v>
      </c>
      <c r="N174" s="6"/>
      <c r="O174" s="6"/>
      <c r="P174" s="15">
        <f t="shared" si="134"/>
        <v>0</v>
      </c>
      <c r="Q174" s="6"/>
      <c r="R174" s="6"/>
      <c r="S174" s="15">
        <f t="shared" si="135"/>
        <v>0</v>
      </c>
      <c r="T174" s="7">
        <f t="shared" si="113"/>
        <v>5</v>
      </c>
      <c r="U174" s="7">
        <f t="shared" si="113"/>
        <v>0</v>
      </c>
      <c r="V174" s="7">
        <f t="shared" si="113"/>
        <v>5</v>
      </c>
    </row>
    <row r="175" spans="1:22" ht="18" customHeight="1" x14ac:dyDescent="0.25">
      <c r="A175" s="42"/>
      <c r="B175" s="42"/>
      <c r="C175" s="42"/>
      <c r="D175" s="5" t="s">
        <v>230</v>
      </c>
      <c r="E175" s="6">
        <v>2</v>
      </c>
      <c r="F175" s="6">
        <v>2</v>
      </c>
      <c r="G175" s="15">
        <f t="shared" si="127"/>
        <v>4</v>
      </c>
      <c r="H175" s="6"/>
      <c r="I175" s="6"/>
      <c r="J175" s="15"/>
      <c r="K175" s="6"/>
      <c r="L175" s="6"/>
      <c r="M175" s="15"/>
      <c r="N175" s="6"/>
      <c r="O175" s="6"/>
      <c r="P175" s="15"/>
      <c r="Q175" s="6"/>
      <c r="R175" s="6"/>
      <c r="S175" s="15"/>
      <c r="T175" s="7">
        <f t="shared" si="113"/>
        <v>2</v>
      </c>
      <c r="U175" s="7">
        <f t="shared" si="113"/>
        <v>2</v>
      </c>
      <c r="V175" s="7">
        <v>4</v>
      </c>
    </row>
    <row r="176" spans="1:22" ht="18" customHeight="1" x14ac:dyDescent="0.25">
      <c r="A176" s="42"/>
      <c r="B176" s="42"/>
      <c r="C176" s="42"/>
      <c r="D176" s="8" t="s">
        <v>231</v>
      </c>
      <c r="E176" s="6">
        <v>2</v>
      </c>
      <c r="F176" s="15">
        <v>3</v>
      </c>
      <c r="G176" s="15">
        <f t="shared" si="127"/>
        <v>5</v>
      </c>
      <c r="H176" s="6"/>
      <c r="I176" s="15"/>
      <c r="J176" s="15">
        <f t="shared" si="132"/>
        <v>0</v>
      </c>
      <c r="K176" s="6"/>
      <c r="L176" s="15"/>
      <c r="M176" s="15">
        <f t="shared" si="133"/>
        <v>0</v>
      </c>
      <c r="N176" s="6"/>
      <c r="O176" s="15"/>
      <c r="P176" s="15">
        <f t="shared" si="134"/>
        <v>0</v>
      </c>
      <c r="Q176" s="6"/>
      <c r="R176" s="15"/>
      <c r="S176" s="15">
        <f t="shared" si="135"/>
        <v>0</v>
      </c>
      <c r="T176" s="7">
        <f t="shared" si="113"/>
        <v>2</v>
      </c>
      <c r="U176" s="7">
        <f t="shared" si="113"/>
        <v>3</v>
      </c>
      <c r="V176" s="7">
        <f t="shared" si="113"/>
        <v>5</v>
      </c>
    </row>
    <row r="177" spans="1:22" ht="18" customHeight="1" x14ac:dyDescent="0.25">
      <c r="A177" s="42"/>
      <c r="B177" s="42"/>
      <c r="C177" s="43"/>
      <c r="D177" s="9" t="s">
        <v>23</v>
      </c>
      <c r="E177" s="10">
        <f t="shared" ref="E177:S177" si="136">SUM(E170:E176)</f>
        <v>34</v>
      </c>
      <c r="F177" s="10">
        <f t="shared" si="136"/>
        <v>26</v>
      </c>
      <c r="G177" s="10">
        <f t="shared" si="136"/>
        <v>60</v>
      </c>
      <c r="H177" s="10">
        <f t="shared" si="136"/>
        <v>0</v>
      </c>
      <c r="I177" s="10">
        <f t="shared" si="136"/>
        <v>0</v>
      </c>
      <c r="J177" s="10">
        <f t="shared" si="136"/>
        <v>0</v>
      </c>
      <c r="K177" s="10">
        <f t="shared" si="136"/>
        <v>0</v>
      </c>
      <c r="L177" s="10">
        <f t="shared" si="136"/>
        <v>0</v>
      </c>
      <c r="M177" s="10">
        <f t="shared" si="136"/>
        <v>0</v>
      </c>
      <c r="N177" s="10">
        <f t="shared" si="136"/>
        <v>0</v>
      </c>
      <c r="O177" s="10">
        <f t="shared" si="136"/>
        <v>0</v>
      </c>
      <c r="P177" s="10">
        <f t="shared" si="136"/>
        <v>0</v>
      </c>
      <c r="Q177" s="10">
        <f t="shared" si="136"/>
        <v>0</v>
      </c>
      <c r="R177" s="10">
        <f t="shared" si="136"/>
        <v>0</v>
      </c>
      <c r="S177" s="10">
        <f t="shared" si="136"/>
        <v>0</v>
      </c>
      <c r="T177" s="12">
        <f t="shared" si="113"/>
        <v>34</v>
      </c>
      <c r="U177" s="12">
        <f t="shared" si="113"/>
        <v>26</v>
      </c>
      <c r="V177" s="12">
        <f t="shared" si="113"/>
        <v>60</v>
      </c>
    </row>
    <row r="178" spans="1:22" ht="18" customHeight="1" x14ac:dyDescent="0.25">
      <c r="A178" s="42"/>
      <c r="B178" s="42"/>
      <c r="C178" s="41" t="s">
        <v>177</v>
      </c>
      <c r="D178" s="5" t="s">
        <v>178</v>
      </c>
      <c r="E178" s="6"/>
      <c r="F178" s="6"/>
      <c r="G178" s="15">
        <v>0</v>
      </c>
      <c r="H178" s="6"/>
      <c r="I178" s="6"/>
      <c r="J178" s="15">
        <f t="shared" ref="J178:J190" si="137">SUM(H178:I178)</f>
        <v>0</v>
      </c>
      <c r="K178" s="6"/>
      <c r="L178" s="6"/>
      <c r="M178" s="15">
        <f t="shared" ref="M178:M190" si="138">SUM(K178:L178)</f>
        <v>0</v>
      </c>
      <c r="N178" s="6"/>
      <c r="O178" s="6"/>
      <c r="P178" s="15">
        <f t="shared" ref="P178:P190" si="139">SUM(N178:O178)</f>
        <v>0</v>
      </c>
      <c r="Q178" s="6"/>
      <c r="R178" s="6"/>
      <c r="S178" s="15">
        <f t="shared" ref="S178:S190" si="140">SUM(Q178:R178)</f>
        <v>0</v>
      </c>
      <c r="T178" s="7">
        <f t="shared" si="113"/>
        <v>0</v>
      </c>
      <c r="U178" s="7">
        <f t="shared" si="113"/>
        <v>0</v>
      </c>
      <c r="V178" s="7">
        <f t="shared" si="113"/>
        <v>0</v>
      </c>
    </row>
    <row r="179" spans="1:22" ht="18" customHeight="1" x14ac:dyDescent="0.25">
      <c r="A179" s="42"/>
      <c r="B179" s="42"/>
      <c r="C179" s="42"/>
      <c r="D179" s="5" t="s">
        <v>179</v>
      </c>
      <c r="E179" s="6">
        <v>25</v>
      </c>
      <c r="F179" s="6">
        <v>22</v>
      </c>
      <c r="G179" s="15">
        <f t="shared" ref="G179:G190" si="141">SUM(E179:F179)</f>
        <v>47</v>
      </c>
      <c r="H179" s="6"/>
      <c r="I179" s="6"/>
      <c r="J179" s="15">
        <f t="shared" si="137"/>
        <v>0</v>
      </c>
      <c r="K179" s="6"/>
      <c r="L179" s="6"/>
      <c r="M179" s="15">
        <f t="shared" si="138"/>
        <v>0</v>
      </c>
      <c r="N179" s="6"/>
      <c r="O179" s="6"/>
      <c r="P179" s="15">
        <f t="shared" si="139"/>
        <v>0</v>
      </c>
      <c r="Q179" s="6"/>
      <c r="R179" s="6"/>
      <c r="S179" s="15">
        <f t="shared" si="140"/>
        <v>0</v>
      </c>
      <c r="T179" s="7">
        <f t="shared" si="113"/>
        <v>25</v>
      </c>
      <c r="U179" s="7">
        <f t="shared" si="113"/>
        <v>22</v>
      </c>
      <c r="V179" s="7">
        <f t="shared" si="113"/>
        <v>47</v>
      </c>
    </row>
    <row r="180" spans="1:22" ht="18" customHeight="1" x14ac:dyDescent="0.25">
      <c r="A180" s="42"/>
      <c r="B180" s="42"/>
      <c r="C180" s="42"/>
      <c r="D180" s="5" t="s">
        <v>28</v>
      </c>
      <c r="E180" s="6">
        <v>4</v>
      </c>
      <c r="F180" s="6">
        <v>0</v>
      </c>
      <c r="G180" s="15">
        <f t="shared" si="141"/>
        <v>4</v>
      </c>
      <c r="H180" s="6"/>
      <c r="I180" s="6"/>
      <c r="J180" s="15">
        <f t="shared" si="137"/>
        <v>0</v>
      </c>
      <c r="K180" s="6"/>
      <c r="L180" s="6"/>
      <c r="M180" s="15">
        <f t="shared" si="138"/>
        <v>0</v>
      </c>
      <c r="N180" s="6"/>
      <c r="O180" s="6"/>
      <c r="P180" s="15">
        <f t="shared" si="139"/>
        <v>0</v>
      </c>
      <c r="Q180" s="6"/>
      <c r="R180" s="6"/>
      <c r="S180" s="15">
        <f t="shared" si="140"/>
        <v>0</v>
      </c>
      <c r="T180" s="7">
        <f t="shared" si="113"/>
        <v>4</v>
      </c>
      <c r="U180" s="7">
        <f t="shared" si="113"/>
        <v>0</v>
      </c>
      <c r="V180" s="7">
        <f t="shared" si="113"/>
        <v>4</v>
      </c>
    </row>
    <row r="181" spans="1:22" ht="18" customHeight="1" x14ac:dyDescent="0.25">
      <c r="A181" s="42"/>
      <c r="B181" s="42"/>
      <c r="C181" s="42"/>
      <c r="D181" s="5" t="s">
        <v>180</v>
      </c>
      <c r="E181" s="6">
        <v>5</v>
      </c>
      <c r="F181" s="6">
        <v>2</v>
      </c>
      <c r="G181" s="15">
        <f t="shared" si="141"/>
        <v>7</v>
      </c>
      <c r="H181" s="6"/>
      <c r="I181" s="6"/>
      <c r="J181" s="15">
        <f t="shared" si="137"/>
        <v>0</v>
      </c>
      <c r="K181" s="6"/>
      <c r="L181" s="6"/>
      <c r="M181" s="15">
        <f t="shared" si="138"/>
        <v>0</v>
      </c>
      <c r="N181" s="6"/>
      <c r="O181" s="6"/>
      <c r="P181" s="15">
        <f t="shared" si="139"/>
        <v>0</v>
      </c>
      <c r="Q181" s="6"/>
      <c r="R181" s="6"/>
      <c r="S181" s="15">
        <f t="shared" si="140"/>
        <v>0</v>
      </c>
      <c r="T181" s="7">
        <f t="shared" si="113"/>
        <v>5</v>
      </c>
      <c r="U181" s="7">
        <f t="shared" si="113"/>
        <v>2</v>
      </c>
      <c r="V181" s="7">
        <f t="shared" si="113"/>
        <v>7</v>
      </c>
    </row>
    <row r="182" spans="1:22" ht="18" customHeight="1" x14ac:dyDescent="0.25">
      <c r="A182" s="42"/>
      <c r="B182" s="42"/>
      <c r="C182" s="42"/>
      <c r="D182" s="5" t="s">
        <v>181</v>
      </c>
      <c r="E182" s="6">
        <v>60</v>
      </c>
      <c r="F182" s="6">
        <v>56</v>
      </c>
      <c r="G182" s="15">
        <f t="shared" si="141"/>
        <v>116</v>
      </c>
      <c r="H182" s="6"/>
      <c r="I182" s="6"/>
      <c r="J182" s="15">
        <f t="shared" si="137"/>
        <v>0</v>
      </c>
      <c r="K182" s="6"/>
      <c r="L182" s="6"/>
      <c r="M182" s="15">
        <f t="shared" si="138"/>
        <v>0</v>
      </c>
      <c r="N182" s="6"/>
      <c r="O182" s="6"/>
      <c r="P182" s="15">
        <f t="shared" si="139"/>
        <v>0</v>
      </c>
      <c r="Q182" s="6"/>
      <c r="R182" s="6"/>
      <c r="S182" s="15">
        <f t="shared" si="140"/>
        <v>0</v>
      </c>
      <c r="T182" s="7">
        <f t="shared" si="113"/>
        <v>60</v>
      </c>
      <c r="U182" s="7">
        <f t="shared" si="113"/>
        <v>56</v>
      </c>
      <c r="V182" s="7">
        <f t="shared" si="113"/>
        <v>116</v>
      </c>
    </row>
    <row r="183" spans="1:22" ht="18" customHeight="1" x14ac:dyDescent="0.25">
      <c r="A183" s="42"/>
      <c r="B183" s="42"/>
      <c r="C183" s="42"/>
      <c r="D183" s="5" t="s">
        <v>182</v>
      </c>
      <c r="E183" s="6">
        <v>58</v>
      </c>
      <c r="F183" s="6">
        <v>59</v>
      </c>
      <c r="G183" s="15">
        <f t="shared" si="141"/>
        <v>117</v>
      </c>
      <c r="H183" s="6"/>
      <c r="I183" s="6"/>
      <c r="J183" s="15">
        <f t="shared" si="137"/>
        <v>0</v>
      </c>
      <c r="K183" s="6"/>
      <c r="L183" s="6"/>
      <c r="M183" s="15">
        <f t="shared" si="138"/>
        <v>0</v>
      </c>
      <c r="N183" s="6"/>
      <c r="O183" s="6"/>
      <c r="P183" s="15">
        <f t="shared" si="139"/>
        <v>0</v>
      </c>
      <c r="Q183" s="6"/>
      <c r="R183" s="6"/>
      <c r="S183" s="15">
        <f t="shared" si="140"/>
        <v>0</v>
      </c>
      <c r="T183" s="7">
        <f t="shared" si="113"/>
        <v>58</v>
      </c>
      <c r="U183" s="7">
        <f t="shared" si="113"/>
        <v>59</v>
      </c>
      <c r="V183" s="7">
        <f t="shared" si="113"/>
        <v>117</v>
      </c>
    </row>
    <row r="184" spans="1:22" ht="18" customHeight="1" x14ac:dyDescent="0.25">
      <c r="A184" s="42"/>
      <c r="B184" s="42"/>
      <c r="C184" s="42"/>
      <c r="D184" s="5" t="s">
        <v>183</v>
      </c>
      <c r="E184" s="6">
        <v>34</v>
      </c>
      <c r="F184" s="6">
        <v>33</v>
      </c>
      <c r="G184" s="15">
        <f t="shared" si="141"/>
        <v>67</v>
      </c>
      <c r="H184" s="6"/>
      <c r="I184" s="6"/>
      <c r="J184" s="15">
        <f t="shared" si="137"/>
        <v>0</v>
      </c>
      <c r="K184" s="6"/>
      <c r="L184" s="6"/>
      <c r="M184" s="15">
        <f t="shared" si="138"/>
        <v>0</v>
      </c>
      <c r="N184" s="6"/>
      <c r="O184" s="6"/>
      <c r="P184" s="15">
        <f t="shared" si="139"/>
        <v>0</v>
      </c>
      <c r="Q184" s="6"/>
      <c r="R184" s="6"/>
      <c r="S184" s="15">
        <f t="shared" si="140"/>
        <v>0</v>
      </c>
      <c r="T184" s="7">
        <f t="shared" si="113"/>
        <v>34</v>
      </c>
      <c r="U184" s="7">
        <f t="shared" si="113"/>
        <v>33</v>
      </c>
      <c r="V184" s="7">
        <f t="shared" si="113"/>
        <v>67</v>
      </c>
    </row>
    <row r="185" spans="1:22" ht="18" customHeight="1" x14ac:dyDescent="0.25">
      <c r="A185" s="42"/>
      <c r="B185" s="42"/>
      <c r="C185" s="42"/>
      <c r="D185" s="5" t="s">
        <v>184</v>
      </c>
      <c r="E185" s="6">
        <v>59</v>
      </c>
      <c r="F185" s="6">
        <v>58</v>
      </c>
      <c r="G185" s="15">
        <f t="shared" si="141"/>
        <v>117</v>
      </c>
      <c r="H185" s="6"/>
      <c r="I185" s="6"/>
      <c r="J185" s="15">
        <f t="shared" si="137"/>
        <v>0</v>
      </c>
      <c r="K185" s="6"/>
      <c r="L185" s="6"/>
      <c r="M185" s="15">
        <f t="shared" si="138"/>
        <v>0</v>
      </c>
      <c r="N185" s="6"/>
      <c r="O185" s="6"/>
      <c r="P185" s="15">
        <f t="shared" si="139"/>
        <v>0</v>
      </c>
      <c r="Q185" s="6"/>
      <c r="R185" s="6"/>
      <c r="S185" s="15">
        <f t="shared" si="140"/>
        <v>0</v>
      </c>
      <c r="T185" s="7">
        <f t="shared" si="113"/>
        <v>59</v>
      </c>
      <c r="U185" s="7">
        <f t="shared" si="113"/>
        <v>58</v>
      </c>
      <c r="V185" s="7">
        <f t="shared" si="113"/>
        <v>117</v>
      </c>
    </row>
    <row r="186" spans="1:22" ht="18" customHeight="1" x14ac:dyDescent="0.25">
      <c r="A186" s="42"/>
      <c r="B186" s="42"/>
      <c r="C186" s="42"/>
      <c r="D186" s="5" t="s">
        <v>185</v>
      </c>
      <c r="E186" s="6"/>
      <c r="F186" s="6"/>
      <c r="G186" s="15">
        <f t="shared" si="141"/>
        <v>0</v>
      </c>
      <c r="H186" s="6"/>
      <c r="I186" s="6"/>
      <c r="J186" s="15">
        <f t="shared" si="137"/>
        <v>0</v>
      </c>
      <c r="K186" s="6"/>
      <c r="L186" s="6"/>
      <c r="M186" s="15">
        <f t="shared" si="138"/>
        <v>0</v>
      </c>
      <c r="N186" s="6"/>
      <c r="O186" s="6"/>
      <c r="P186" s="15">
        <f t="shared" si="139"/>
        <v>0</v>
      </c>
      <c r="Q186" s="6"/>
      <c r="R186" s="6"/>
      <c r="S186" s="15">
        <f t="shared" si="140"/>
        <v>0</v>
      </c>
      <c r="T186" s="7">
        <f t="shared" si="113"/>
        <v>0</v>
      </c>
      <c r="U186" s="7">
        <f t="shared" si="113"/>
        <v>0</v>
      </c>
      <c r="V186" s="7">
        <f t="shared" si="113"/>
        <v>0</v>
      </c>
    </row>
    <row r="187" spans="1:22" ht="18" customHeight="1" x14ac:dyDescent="0.25">
      <c r="A187" s="42"/>
      <c r="B187" s="42"/>
      <c r="C187" s="42"/>
      <c r="D187" s="5" t="s">
        <v>186</v>
      </c>
      <c r="E187" s="6">
        <v>37</v>
      </c>
      <c r="F187" s="6">
        <v>37</v>
      </c>
      <c r="G187" s="15">
        <f t="shared" si="141"/>
        <v>74</v>
      </c>
      <c r="H187" s="6"/>
      <c r="I187" s="6"/>
      <c r="J187" s="15">
        <f t="shared" si="137"/>
        <v>0</v>
      </c>
      <c r="K187" s="6"/>
      <c r="L187" s="6"/>
      <c r="M187" s="15">
        <f t="shared" si="138"/>
        <v>0</v>
      </c>
      <c r="N187" s="6"/>
      <c r="O187" s="6"/>
      <c r="P187" s="15">
        <f t="shared" si="139"/>
        <v>0</v>
      </c>
      <c r="Q187" s="6"/>
      <c r="R187" s="6"/>
      <c r="S187" s="15">
        <f t="shared" si="140"/>
        <v>0</v>
      </c>
      <c r="T187" s="7">
        <f t="shared" si="113"/>
        <v>37</v>
      </c>
      <c r="U187" s="7">
        <f t="shared" si="113"/>
        <v>37</v>
      </c>
      <c r="V187" s="7">
        <f t="shared" si="113"/>
        <v>74</v>
      </c>
    </row>
    <row r="188" spans="1:22" ht="18" customHeight="1" x14ac:dyDescent="0.25">
      <c r="A188" s="42"/>
      <c r="B188" s="42"/>
      <c r="C188" s="42"/>
      <c r="D188" s="5" t="s">
        <v>187</v>
      </c>
      <c r="E188" s="6">
        <v>38</v>
      </c>
      <c r="F188" s="6">
        <v>45</v>
      </c>
      <c r="G188" s="15">
        <f t="shared" si="141"/>
        <v>83</v>
      </c>
      <c r="H188" s="6"/>
      <c r="I188" s="6"/>
      <c r="J188" s="15">
        <f t="shared" si="137"/>
        <v>0</v>
      </c>
      <c r="K188" s="6"/>
      <c r="L188" s="6"/>
      <c r="M188" s="15">
        <f t="shared" si="138"/>
        <v>0</v>
      </c>
      <c r="N188" s="6"/>
      <c r="O188" s="6"/>
      <c r="P188" s="15">
        <f t="shared" si="139"/>
        <v>0</v>
      </c>
      <c r="Q188" s="6"/>
      <c r="R188" s="6"/>
      <c r="S188" s="15">
        <f t="shared" si="140"/>
        <v>0</v>
      </c>
      <c r="T188" s="7">
        <f t="shared" si="113"/>
        <v>38</v>
      </c>
      <c r="U188" s="7">
        <f t="shared" si="113"/>
        <v>45</v>
      </c>
      <c r="V188" s="7">
        <f t="shared" si="113"/>
        <v>83</v>
      </c>
    </row>
    <row r="189" spans="1:22" ht="18" customHeight="1" x14ac:dyDescent="0.25">
      <c r="A189" s="42"/>
      <c r="B189" s="42"/>
      <c r="C189" s="42"/>
      <c r="D189" s="5" t="s">
        <v>188</v>
      </c>
      <c r="E189" s="6">
        <v>12</v>
      </c>
      <c r="F189" s="6">
        <v>19</v>
      </c>
      <c r="G189" s="15">
        <f t="shared" si="141"/>
        <v>31</v>
      </c>
      <c r="H189" s="6"/>
      <c r="I189" s="6"/>
      <c r="J189" s="15">
        <f t="shared" si="137"/>
        <v>0</v>
      </c>
      <c r="K189" s="6"/>
      <c r="L189" s="6"/>
      <c r="M189" s="15">
        <f t="shared" si="138"/>
        <v>0</v>
      </c>
      <c r="N189" s="6"/>
      <c r="O189" s="6"/>
      <c r="P189" s="15">
        <f t="shared" si="139"/>
        <v>0</v>
      </c>
      <c r="Q189" s="6"/>
      <c r="R189" s="6"/>
      <c r="S189" s="15">
        <f t="shared" si="140"/>
        <v>0</v>
      </c>
      <c r="T189" s="7">
        <f t="shared" si="113"/>
        <v>12</v>
      </c>
      <c r="U189" s="7">
        <f t="shared" si="113"/>
        <v>19</v>
      </c>
      <c r="V189" s="7">
        <f t="shared" si="113"/>
        <v>31</v>
      </c>
    </row>
    <row r="190" spans="1:22" ht="18" customHeight="1" x14ac:dyDescent="0.25">
      <c r="A190" s="42"/>
      <c r="B190" s="42"/>
      <c r="C190" s="42"/>
      <c r="D190" s="5" t="s">
        <v>189</v>
      </c>
      <c r="E190" s="6">
        <v>8</v>
      </c>
      <c r="F190" s="6">
        <v>4</v>
      </c>
      <c r="G190" s="15">
        <f t="shared" si="141"/>
        <v>12</v>
      </c>
      <c r="H190" s="6"/>
      <c r="I190" s="6"/>
      <c r="J190" s="15">
        <f t="shared" si="137"/>
        <v>0</v>
      </c>
      <c r="K190" s="6"/>
      <c r="L190" s="6"/>
      <c r="M190" s="15">
        <f t="shared" si="138"/>
        <v>0</v>
      </c>
      <c r="N190" s="6"/>
      <c r="O190" s="6"/>
      <c r="P190" s="15">
        <f t="shared" si="139"/>
        <v>0</v>
      </c>
      <c r="Q190" s="6"/>
      <c r="R190" s="6"/>
      <c r="S190" s="15">
        <f t="shared" si="140"/>
        <v>0</v>
      </c>
      <c r="T190" s="7">
        <f t="shared" si="113"/>
        <v>8</v>
      </c>
      <c r="U190" s="7">
        <f t="shared" si="113"/>
        <v>4</v>
      </c>
      <c r="V190" s="7">
        <f t="shared" si="113"/>
        <v>12</v>
      </c>
    </row>
    <row r="191" spans="1:22" ht="18" customHeight="1" x14ac:dyDescent="0.25">
      <c r="A191" s="42"/>
      <c r="B191" s="42"/>
      <c r="C191" s="42"/>
      <c r="D191" s="5" t="s">
        <v>232</v>
      </c>
      <c r="E191" s="6">
        <v>21</v>
      </c>
      <c r="F191" s="6">
        <v>22</v>
      </c>
      <c r="G191" s="15">
        <v>43</v>
      </c>
      <c r="H191" s="6"/>
      <c r="I191" s="6"/>
      <c r="J191" s="15"/>
      <c r="K191" s="6"/>
      <c r="L191" s="6"/>
      <c r="M191" s="15"/>
      <c r="N191" s="6"/>
      <c r="O191" s="6"/>
      <c r="P191" s="15"/>
      <c r="Q191" s="6"/>
      <c r="R191" s="6"/>
      <c r="S191" s="15"/>
      <c r="T191" s="7"/>
      <c r="U191" s="7"/>
      <c r="V191" s="7"/>
    </row>
    <row r="192" spans="1:22" ht="18" customHeight="1" x14ac:dyDescent="0.25">
      <c r="A192" s="42"/>
      <c r="B192" s="42"/>
      <c r="C192" s="42"/>
      <c r="D192" s="5" t="s">
        <v>233</v>
      </c>
      <c r="E192" s="6">
        <v>4</v>
      </c>
      <c r="F192" s="6">
        <v>3</v>
      </c>
      <c r="G192" s="15">
        <v>7</v>
      </c>
      <c r="H192" s="6"/>
      <c r="I192" s="6"/>
      <c r="J192" s="15"/>
      <c r="K192" s="6"/>
      <c r="L192" s="6"/>
      <c r="M192" s="15"/>
      <c r="N192" s="6"/>
      <c r="O192" s="6"/>
      <c r="P192" s="15"/>
      <c r="Q192" s="6"/>
      <c r="R192" s="6"/>
      <c r="S192" s="15"/>
      <c r="T192" s="7"/>
      <c r="U192" s="7"/>
      <c r="V192" s="7"/>
    </row>
    <row r="193" spans="1:22" ht="18" customHeight="1" x14ac:dyDescent="0.25">
      <c r="A193" s="42"/>
      <c r="B193" s="42"/>
      <c r="C193" s="42"/>
      <c r="D193" s="5" t="s">
        <v>234</v>
      </c>
      <c r="E193" s="6">
        <v>0</v>
      </c>
      <c r="F193" s="6">
        <v>1</v>
      </c>
      <c r="G193" s="15">
        <v>1</v>
      </c>
      <c r="H193" s="6"/>
      <c r="I193" s="6"/>
      <c r="J193" s="15"/>
      <c r="K193" s="6"/>
      <c r="L193" s="6"/>
      <c r="M193" s="15"/>
      <c r="N193" s="6"/>
      <c r="O193" s="6"/>
      <c r="P193" s="15"/>
      <c r="Q193" s="6"/>
      <c r="R193" s="6"/>
      <c r="S193" s="15"/>
      <c r="T193" s="7"/>
      <c r="U193" s="7"/>
      <c r="V193" s="7"/>
    </row>
    <row r="194" spans="1:22" ht="18" customHeight="1" x14ac:dyDescent="0.25">
      <c r="A194" s="42"/>
      <c r="B194" s="42"/>
      <c r="C194" s="43"/>
      <c r="D194" s="9" t="s">
        <v>23</v>
      </c>
      <c r="E194" s="10">
        <f t="shared" ref="E194:S194" si="142">SUM(E178:E193)</f>
        <v>365</v>
      </c>
      <c r="F194" s="10">
        <f t="shared" si="142"/>
        <v>361</v>
      </c>
      <c r="G194" s="10">
        <f t="shared" si="142"/>
        <v>726</v>
      </c>
      <c r="H194" s="10">
        <f t="shared" si="142"/>
        <v>0</v>
      </c>
      <c r="I194" s="10">
        <f t="shared" si="142"/>
        <v>0</v>
      </c>
      <c r="J194" s="10">
        <f t="shared" si="142"/>
        <v>0</v>
      </c>
      <c r="K194" s="10">
        <f t="shared" si="142"/>
        <v>0</v>
      </c>
      <c r="L194" s="10">
        <f t="shared" si="142"/>
        <v>0</v>
      </c>
      <c r="M194" s="10">
        <f t="shared" si="142"/>
        <v>0</v>
      </c>
      <c r="N194" s="10">
        <f t="shared" si="142"/>
        <v>0</v>
      </c>
      <c r="O194" s="10">
        <f t="shared" si="142"/>
        <v>0</v>
      </c>
      <c r="P194" s="10">
        <f t="shared" si="142"/>
        <v>0</v>
      </c>
      <c r="Q194" s="10">
        <f t="shared" si="142"/>
        <v>0</v>
      </c>
      <c r="R194" s="10">
        <f t="shared" si="142"/>
        <v>0</v>
      </c>
      <c r="S194" s="10">
        <f t="shared" si="142"/>
        <v>0</v>
      </c>
      <c r="T194" s="12">
        <f t="shared" si="113"/>
        <v>365</v>
      </c>
      <c r="U194" s="12">
        <f t="shared" si="113"/>
        <v>361</v>
      </c>
      <c r="V194" s="12">
        <f t="shared" si="113"/>
        <v>726</v>
      </c>
    </row>
    <row r="195" spans="1:22" ht="18" customHeight="1" x14ac:dyDescent="0.25">
      <c r="A195" s="42"/>
      <c r="B195" s="43"/>
      <c r="C195" s="39" t="s">
        <v>33</v>
      </c>
      <c r="D195" s="40"/>
      <c r="E195" s="16">
        <f t="shared" ref="E195:S195" si="143">SUM(E194,E177)</f>
        <v>399</v>
      </c>
      <c r="F195" s="16">
        <f t="shared" si="143"/>
        <v>387</v>
      </c>
      <c r="G195" s="16">
        <f t="shared" si="143"/>
        <v>786</v>
      </c>
      <c r="H195" s="16">
        <f t="shared" si="143"/>
        <v>0</v>
      </c>
      <c r="I195" s="16">
        <f t="shared" si="143"/>
        <v>0</v>
      </c>
      <c r="J195" s="16">
        <f t="shared" si="143"/>
        <v>0</v>
      </c>
      <c r="K195" s="16">
        <f t="shared" si="143"/>
        <v>0</v>
      </c>
      <c r="L195" s="16">
        <f t="shared" si="143"/>
        <v>0</v>
      </c>
      <c r="M195" s="16">
        <f t="shared" si="143"/>
        <v>0</v>
      </c>
      <c r="N195" s="16">
        <f t="shared" si="143"/>
        <v>0</v>
      </c>
      <c r="O195" s="16">
        <f t="shared" si="143"/>
        <v>0</v>
      </c>
      <c r="P195" s="16">
        <f t="shared" si="143"/>
        <v>0</v>
      </c>
      <c r="Q195" s="16">
        <f t="shared" si="143"/>
        <v>0</v>
      </c>
      <c r="R195" s="16">
        <f t="shared" si="143"/>
        <v>0</v>
      </c>
      <c r="S195" s="16">
        <f t="shared" si="143"/>
        <v>0</v>
      </c>
      <c r="T195" s="16">
        <f t="shared" si="113"/>
        <v>399</v>
      </c>
      <c r="U195" s="16">
        <f t="shared" si="113"/>
        <v>387</v>
      </c>
      <c r="V195" s="16">
        <f t="shared" si="113"/>
        <v>786</v>
      </c>
    </row>
    <row r="196" spans="1:22" ht="18" customHeight="1" x14ac:dyDescent="0.25">
      <c r="A196" s="42"/>
      <c r="B196" s="41" t="s">
        <v>190</v>
      </c>
      <c r="C196" s="41" t="s">
        <v>191</v>
      </c>
      <c r="D196" s="5" t="s">
        <v>192</v>
      </c>
      <c r="E196" s="6"/>
      <c r="F196" s="6"/>
      <c r="G196" s="15">
        <f>SUM(E196:F196)</f>
        <v>0</v>
      </c>
      <c r="H196" s="6"/>
      <c r="I196" s="6"/>
      <c r="J196" s="15">
        <f>SUM(H196:I196)</f>
        <v>0</v>
      </c>
      <c r="K196" s="6"/>
      <c r="L196" s="6"/>
      <c r="M196" s="15">
        <f>SUM(K196:L196)</f>
        <v>0</v>
      </c>
      <c r="N196" s="6"/>
      <c r="O196" s="6"/>
      <c r="P196" s="15">
        <f>SUM(N196:O196)</f>
        <v>0</v>
      </c>
      <c r="Q196" s="6"/>
      <c r="R196" s="6"/>
      <c r="S196" s="15">
        <f>SUM(Q196:R196)</f>
        <v>0</v>
      </c>
      <c r="T196" s="7">
        <f t="shared" si="113"/>
        <v>0</v>
      </c>
      <c r="U196" s="7">
        <f t="shared" si="113"/>
        <v>0</v>
      </c>
      <c r="V196" s="7">
        <f t="shared" si="113"/>
        <v>0</v>
      </c>
    </row>
    <row r="197" spans="1:22" ht="18" customHeight="1" x14ac:dyDescent="0.25">
      <c r="A197" s="42"/>
      <c r="B197" s="42"/>
      <c r="C197" s="42"/>
      <c r="D197" s="5" t="s">
        <v>193</v>
      </c>
      <c r="E197" s="6"/>
      <c r="F197" s="6"/>
      <c r="G197" s="15">
        <f>SUM(E197:F197)</f>
        <v>0</v>
      </c>
      <c r="H197" s="6"/>
      <c r="I197" s="6"/>
      <c r="J197" s="15">
        <f>SUM(H197:I197)</f>
        <v>0</v>
      </c>
      <c r="K197" s="6"/>
      <c r="L197" s="6"/>
      <c r="M197" s="15">
        <f>SUM(K197:L197)</f>
        <v>0</v>
      </c>
      <c r="N197" s="6"/>
      <c r="O197" s="6"/>
      <c r="P197" s="15">
        <f>SUM(N197:O197)</f>
        <v>0</v>
      </c>
      <c r="Q197" s="6"/>
      <c r="R197" s="6"/>
      <c r="S197" s="15">
        <f>SUM(Q197:R197)</f>
        <v>0</v>
      </c>
      <c r="T197" s="7">
        <f t="shared" si="113"/>
        <v>0</v>
      </c>
      <c r="U197" s="7">
        <f t="shared" si="113"/>
        <v>0</v>
      </c>
      <c r="V197" s="7">
        <f t="shared" si="113"/>
        <v>0</v>
      </c>
    </row>
    <row r="198" spans="1:22" ht="18" customHeight="1" x14ac:dyDescent="0.25">
      <c r="A198" s="42"/>
      <c r="B198" s="42"/>
      <c r="C198" s="42"/>
      <c r="D198" s="5" t="s">
        <v>194</v>
      </c>
      <c r="E198" s="6"/>
      <c r="F198" s="6"/>
      <c r="G198" s="15">
        <f>SUM(E198:F198)</f>
        <v>0</v>
      </c>
      <c r="H198" s="6"/>
      <c r="I198" s="6"/>
      <c r="J198" s="15">
        <f>SUM(H198:I198)</f>
        <v>0</v>
      </c>
      <c r="K198" s="6"/>
      <c r="L198" s="6"/>
      <c r="M198" s="15">
        <f>SUM(K198:L198)</f>
        <v>0</v>
      </c>
      <c r="N198" s="6"/>
      <c r="O198" s="6"/>
      <c r="P198" s="15">
        <f>SUM(N198:O198)</f>
        <v>0</v>
      </c>
      <c r="Q198" s="6"/>
      <c r="R198" s="6"/>
      <c r="S198" s="15">
        <f>SUM(Q198:R198)</f>
        <v>0</v>
      </c>
      <c r="T198" s="7">
        <f t="shared" si="113"/>
        <v>0</v>
      </c>
      <c r="U198" s="7">
        <f t="shared" si="113"/>
        <v>0</v>
      </c>
      <c r="V198" s="7">
        <f t="shared" si="113"/>
        <v>0</v>
      </c>
    </row>
    <row r="199" spans="1:22" ht="18" customHeight="1" x14ac:dyDescent="0.25">
      <c r="A199" s="42"/>
      <c r="B199" s="42"/>
      <c r="C199" s="42"/>
      <c r="D199" s="5" t="s">
        <v>195</v>
      </c>
      <c r="E199" s="6"/>
      <c r="F199" s="6"/>
      <c r="G199" s="15">
        <f>SUM(E199:F199)</f>
        <v>0</v>
      </c>
      <c r="H199" s="6"/>
      <c r="I199" s="6"/>
      <c r="J199" s="15">
        <f>SUM(H199:I199)</f>
        <v>0</v>
      </c>
      <c r="K199" s="6"/>
      <c r="L199" s="6"/>
      <c r="M199" s="15">
        <f>SUM(K199:L199)</f>
        <v>0</v>
      </c>
      <c r="N199" s="6"/>
      <c r="O199" s="6"/>
      <c r="P199" s="15">
        <f>SUM(N199:O199)</f>
        <v>0</v>
      </c>
      <c r="Q199" s="6"/>
      <c r="R199" s="6"/>
      <c r="S199" s="15">
        <f>SUM(Q199:R199)</f>
        <v>0</v>
      </c>
      <c r="T199" s="7">
        <f t="shared" si="113"/>
        <v>0</v>
      </c>
      <c r="U199" s="7">
        <f t="shared" si="113"/>
        <v>0</v>
      </c>
      <c r="V199" s="7">
        <f t="shared" si="113"/>
        <v>0</v>
      </c>
    </row>
    <row r="200" spans="1:22" ht="18" customHeight="1" x14ac:dyDescent="0.25">
      <c r="A200" s="42"/>
      <c r="B200" s="42"/>
      <c r="C200" s="43"/>
      <c r="D200" s="9" t="s">
        <v>23</v>
      </c>
      <c r="E200" s="10">
        <f t="shared" ref="E200:S200" si="144">SUM(E196:E199)</f>
        <v>0</v>
      </c>
      <c r="F200" s="10">
        <f t="shared" si="144"/>
        <v>0</v>
      </c>
      <c r="G200" s="10">
        <f t="shared" si="144"/>
        <v>0</v>
      </c>
      <c r="H200" s="10">
        <f t="shared" si="144"/>
        <v>0</v>
      </c>
      <c r="I200" s="10">
        <f t="shared" si="144"/>
        <v>0</v>
      </c>
      <c r="J200" s="10">
        <f t="shared" si="144"/>
        <v>0</v>
      </c>
      <c r="K200" s="10">
        <f t="shared" si="144"/>
        <v>0</v>
      </c>
      <c r="L200" s="10">
        <f t="shared" si="144"/>
        <v>0</v>
      </c>
      <c r="M200" s="10">
        <f t="shared" si="144"/>
        <v>0</v>
      </c>
      <c r="N200" s="10">
        <f t="shared" si="144"/>
        <v>0</v>
      </c>
      <c r="O200" s="10">
        <f t="shared" si="144"/>
        <v>0</v>
      </c>
      <c r="P200" s="10">
        <f t="shared" si="144"/>
        <v>0</v>
      </c>
      <c r="Q200" s="10">
        <f t="shared" si="144"/>
        <v>0</v>
      </c>
      <c r="R200" s="10">
        <f t="shared" si="144"/>
        <v>0</v>
      </c>
      <c r="S200" s="10">
        <f t="shared" si="144"/>
        <v>0</v>
      </c>
      <c r="T200" s="12">
        <f t="shared" si="113"/>
        <v>0</v>
      </c>
      <c r="U200" s="12">
        <f t="shared" si="113"/>
        <v>0</v>
      </c>
      <c r="V200" s="12">
        <f t="shared" si="113"/>
        <v>0</v>
      </c>
    </row>
    <row r="201" spans="1:22" ht="18" customHeight="1" x14ac:dyDescent="0.25">
      <c r="A201" s="42"/>
      <c r="B201" s="42"/>
      <c r="C201" s="41" t="s">
        <v>196</v>
      </c>
      <c r="D201" s="5" t="s">
        <v>197</v>
      </c>
      <c r="E201" s="6"/>
      <c r="F201" s="6"/>
      <c r="G201" s="15">
        <f>SUM(E201:F201)</f>
        <v>0</v>
      </c>
      <c r="H201" s="6"/>
      <c r="I201" s="6"/>
      <c r="J201" s="15">
        <f>SUM(H201:I201)</f>
        <v>0</v>
      </c>
      <c r="K201" s="6"/>
      <c r="L201" s="6"/>
      <c r="M201" s="15">
        <f>SUM(K201:L201)</f>
        <v>0</v>
      </c>
      <c r="N201" s="6"/>
      <c r="O201" s="6"/>
      <c r="P201" s="15">
        <f>SUM(N201:O201)</f>
        <v>0</v>
      </c>
      <c r="Q201" s="6"/>
      <c r="R201" s="6"/>
      <c r="S201" s="15">
        <f>SUM(Q201:R201)</f>
        <v>0</v>
      </c>
      <c r="T201" s="7">
        <f t="shared" si="113"/>
        <v>0</v>
      </c>
      <c r="U201" s="7">
        <f t="shared" si="113"/>
        <v>0</v>
      </c>
      <c r="V201" s="7">
        <f t="shared" si="113"/>
        <v>0</v>
      </c>
    </row>
    <row r="202" spans="1:22" ht="18" customHeight="1" x14ac:dyDescent="0.25">
      <c r="A202" s="42"/>
      <c r="B202" s="42"/>
      <c r="C202" s="42"/>
      <c r="D202" s="5" t="s">
        <v>198</v>
      </c>
      <c r="E202" s="6"/>
      <c r="F202" s="6"/>
      <c r="G202" s="15">
        <f>SUM(E202:F202)</f>
        <v>0</v>
      </c>
      <c r="H202" s="6"/>
      <c r="I202" s="6"/>
      <c r="J202" s="15">
        <f>SUM(H202:I202)</f>
        <v>0</v>
      </c>
      <c r="K202" s="6"/>
      <c r="L202" s="6"/>
      <c r="M202" s="15">
        <f>SUM(K202:L202)</f>
        <v>0</v>
      </c>
      <c r="N202" s="6"/>
      <c r="O202" s="6"/>
      <c r="P202" s="15">
        <f>SUM(N202:O202)</f>
        <v>0</v>
      </c>
      <c r="Q202" s="6"/>
      <c r="R202" s="6"/>
      <c r="S202" s="15">
        <f>SUM(Q202:R202)</f>
        <v>0</v>
      </c>
      <c r="T202" s="7">
        <f t="shared" si="113"/>
        <v>0</v>
      </c>
      <c r="U202" s="7">
        <f t="shared" si="113"/>
        <v>0</v>
      </c>
      <c r="V202" s="7">
        <f t="shared" si="113"/>
        <v>0</v>
      </c>
    </row>
    <row r="203" spans="1:22" ht="18" customHeight="1" x14ac:dyDescent="0.25">
      <c r="A203" s="42"/>
      <c r="B203" s="42"/>
      <c r="C203" s="42"/>
      <c r="D203" s="5" t="s">
        <v>199</v>
      </c>
      <c r="E203" s="6"/>
      <c r="F203" s="6"/>
      <c r="G203" s="15">
        <f>SUM(E203:F203)</f>
        <v>0</v>
      </c>
      <c r="H203" s="6"/>
      <c r="I203" s="6"/>
      <c r="J203" s="15">
        <f>SUM(H203:I203)</f>
        <v>0</v>
      </c>
      <c r="K203" s="6"/>
      <c r="L203" s="6"/>
      <c r="M203" s="15">
        <f>SUM(K203:L203)</f>
        <v>0</v>
      </c>
      <c r="N203" s="6"/>
      <c r="O203" s="6"/>
      <c r="P203" s="15">
        <f>SUM(N203:O203)</f>
        <v>0</v>
      </c>
      <c r="Q203" s="6"/>
      <c r="R203" s="6"/>
      <c r="S203" s="15">
        <f>SUM(Q203:R203)</f>
        <v>0</v>
      </c>
      <c r="T203" s="7">
        <f t="shared" si="113"/>
        <v>0</v>
      </c>
      <c r="U203" s="7">
        <f t="shared" si="113"/>
        <v>0</v>
      </c>
      <c r="V203" s="7">
        <f t="shared" si="113"/>
        <v>0</v>
      </c>
    </row>
    <row r="204" spans="1:22" ht="18" customHeight="1" x14ac:dyDescent="0.25">
      <c r="A204" s="42"/>
      <c r="B204" s="42"/>
      <c r="C204" s="42"/>
      <c r="D204" s="5" t="s">
        <v>200</v>
      </c>
      <c r="E204" s="6"/>
      <c r="F204" s="6"/>
      <c r="G204" s="15">
        <f>SUM(E204:F204)</f>
        <v>0</v>
      </c>
      <c r="H204" s="6"/>
      <c r="I204" s="6"/>
      <c r="J204" s="15">
        <f>SUM(H204:I204)</f>
        <v>0</v>
      </c>
      <c r="K204" s="6"/>
      <c r="L204" s="6"/>
      <c r="M204" s="15">
        <f>SUM(K204:L204)</f>
        <v>0</v>
      </c>
      <c r="N204" s="6"/>
      <c r="O204" s="6"/>
      <c r="P204" s="15">
        <f>SUM(N204:O204)</f>
        <v>0</v>
      </c>
      <c r="Q204" s="6"/>
      <c r="R204" s="6"/>
      <c r="S204" s="15">
        <f>SUM(Q204:R204)</f>
        <v>0</v>
      </c>
      <c r="T204" s="7">
        <f t="shared" si="113"/>
        <v>0</v>
      </c>
      <c r="U204" s="7">
        <f t="shared" si="113"/>
        <v>0</v>
      </c>
      <c r="V204" s="7">
        <f t="shared" si="113"/>
        <v>0</v>
      </c>
    </row>
    <row r="205" spans="1:22" ht="18" customHeight="1" x14ac:dyDescent="0.25">
      <c r="A205" s="42"/>
      <c r="B205" s="42"/>
      <c r="C205" s="42"/>
      <c r="D205" s="5" t="s">
        <v>201</v>
      </c>
      <c r="E205" s="6"/>
      <c r="F205" s="15"/>
      <c r="G205" s="15">
        <f>SUM(E205:F205)</f>
        <v>0</v>
      </c>
      <c r="H205" s="6"/>
      <c r="I205" s="15"/>
      <c r="J205" s="15">
        <f>SUM(H205:I205)</f>
        <v>0</v>
      </c>
      <c r="K205" s="6"/>
      <c r="L205" s="15"/>
      <c r="M205" s="15">
        <f>SUM(K205:L205)</f>
        <v>0</v>
      </c>
      <c r="N205" s="6"/>
      <c r="O205" s="15"/>
      <c r="P205" s="15">
        <f>SUM(N205:O205)</f>
        <v>0</v>
      </c>
      <c r="Q205" s="6"/>
      <c r="R205" s="15"/>
      <c r="S205" s="15">
        <f>SUM(Q205:R205)</f>
        <v>0</v>
      </c>
      <c r="T205" s="7">
        <f t="shared" si="113"/>
        <v>0</v>
      </c>
      <c r="U205" s="7">
        <f t="shared" si="113"/>
        <v>0</v>
      </c>
      <c r="V205" s="7">
        <f t="shared" si="113"/>
        <v>0</v>
      </c>
    </row>
    <row r="206" spans="1:22" s="17" customFormat="1" ht="18" customHeight="1" x14ac:dyDescent="0.25">
      <c r="A206" s="42"/>
      <c r="B206" s="42"/>
      <c r="C206" s="43"/>
      <c r="D206" s="9" t="s">
        <v>23</v>
      </c>
      <c r="E206" s="10">
        <f t="shared" ref="E206:F206" si="145">SUM(E201:E205)</f>
        <v>0</v>
      </c>
      <c r="F206" s="10">
        <f t="shared" si="145"/>
        <v>0</v>
      </c>
      <c r="G206" s="10">
        <f>SUM(G201:G205)</f>
        <v>0</v>
      </c>
      <c r="H206" s="10">
        <f t="shared" ref="H206:I206" si="146">SUM(H201:H205)</f>
        <v>0</v>
      </c>
      <c r="I206" s="10">
        <f t="shared" si="146"/>
        <v>0</v>
      </c>
      <c r="J206" s="10">
        <f>SUM(J201:J205)</f>
        <v>0</v>
      </c>
      <c r="K206" s="10">
        <f t="shared" ref="K206:L206" si="147">SUM(K201:K205)</f>
        <v>0</v>
      </c>
      <c r="L206" s="10">
        <f t="shared" si="147"/>
        <v>0</v>
      </c>
      <c r="M206" s="10">
        <f>SUM(M201:M205)</f>
        <v>0</v>
      </c>
      <c r="N206" s="10">
        <f t="shared" ref="N206:O206" si="148">SUM(N201:N205)</f>
        <v>0</v>
      </c>
      <c r="O206" s="10">
        <f t="shared" si="148"/>
        <v>0</v>
      </c>
      <c r="P206" s="10">
        <f>SUM(P201:P205)</f>
        <v>0</v>
      </c>
      <c r="Q206" s="10">
        <f t="shared" ref="Q206:R206" si="149">SUM(Q201:Q205)</f>
        <v>0</v>
      </c>
      <c r="R206" s="10">
        <f t="shared" si="149"/>
        <v>0</v>
      </c>
      <c r="S206" s="10">
        <f>SUM(S201:S205)</f>
        <v>0</v>
      </c>
      <c r="T206" s="12">
        <f t="shared" si="113"/>
        <v>0</v>
      </c>
      <c r="U206" s="12">
        <f t="shared" si="113"/>
        <v>0</v>
      </c>
      <c r="V206" s="12">
        <f t="shared" si="113"/>
        <v>0</v>
      </c>
    </row>
    <row r="207" spans="1:22" ht="18" customHeight="1" x14ac:dyDescent="0.25">
      <c r="A207" s="42"/>
      <c r="B207" s="42"/>
      <c r="C207" s="41" t="s">
        <v>202</v>
      </c>
      <c r="D207" s="5" t="s">
        <v>203</v>
      </c>
      <c r="E207" s="6"/>
      <c r="F207" s="6"/>
      <c r="G207" s="15">
        <f t="shared" ref="G207:G209" si="150">SUM(E207:F207)</f>
        <v>0</v>
      </c>
      <c r="H207" s="6"/>
      <c r="I207" s="6"/>
      <c r="J207" s="15">
        <f t="shared" ref="J207:J209" si="151">SUM(H207:I207)</f>
        <v>0</v>
      </c>
      <c r="K207" s="6"/>
      <c r="L207" s="6"/>
      <c r="M207" s="15">
        <f t="shared" ref="M207:M209" si="152">SUM(K207:L207)</f>
        <v>0</v>
      </c>
      <c r="N207" s="6"/>
      <c r="O207" s="6"/>
      <c r="P207" s="15">
        <f t="shared" ref="P207:P209" si="153">SUM(N207:O207)</f>
        <v>0</v>
      </c>
      <c r="Q207" s="6"/>
      <c r="R207" s="6"/>
      <c r="S207" s="15">
        <f t="shared" ref="S207:S209" si="154">SUM(Q207:R207)</f>
        <v>0</v>
      </c>
      <c r="T207" s="7">
        <f t="shared" si="113"/>
        <v>0</v>
      </c>
      <c r="U207" s="7">
        <f t="shared" si="113"/>
        <v>0</v>
      </c>
      <c r="V207" s="7">
        <f t="shared" si="113"/>
        <v>0</v>
      </c>
    </row>
    <row r="208" spans="1:22" ht="18" customHeight="1" x14ac:dyDescent="0.25">
      <c r="A208" s="42"/>
      <c r="B208" s="42"/>
      <c r="C208" s="42"/>
      <c r="D208" s="5" t="s">
        <v>204</v>
      </c>
      <c r="E208" s="6"/>
      <c r="F208" s="6"/>
      <c r="G208" s="15">
        <f t="shared" si="150"/>
        <v>0</v>
      </c>
      <c r="H208" s="6"/>
      <c r="I208" s="6"/>
      <c r="J208" s="15">
        <f t="shared" si="151"/>
        <v>0</v>
      </c>
      <c r="K208" s="6"/>
      <c r="L208" s="6"/>
      <c r="M208" s="15">
        <f t="shared" si="152"/>
        <v>0</v>
      </c>
      <c r="N208" s="6"/>
      <c r="O208" s="6"/>
      <c r="P208" s="15">
        <f t="shared" si="153"/>
        <v>0</v>
      </c>
      <c r="Q208" s="6"/>
      <c r="R208" s="6"/>
      <c r="S208" s="15">
        <f t="shared" si="154"/>
        <v>0</v>
      </c>
      <c r="T208" s="7">
        <f t="shared" si="113"/>
        <v>0</v>
      </c>
      <c r="U208" s="7">
        <f t="shared" si="113"/>
        <v>0</v>
      </c>
      <c r="V208" s="7">
        <f t="shared" si="113"/>
        <v>0</v>
      </c>
    </row>
    <row r="209" spans="1:22" ht="18" customHeight="1" x14ac:dyDescent="0.25">
      <c r="A209" s="42"/>
      <c r="B209" s="42"/>
      <c r="C209" s="42"/>
      <c r="D209" s="5" t="s">
        <v>205</v>
      </c>
      <c r="E209" s="6"/>
      <c r="F209" s="6"/>
      <c r="G209" s="15">
        <f t="shared" si="150"/>
        <v>0</v>
      </c>
      <c r="H209" s="6"/>
      <c r="I209" s="6"/>
      <c r="J209" s="15">
        <f t="shared" si="151"/>
        <v>0</v>
      </c>
      <c r="K209" s="6"/>
      <c r="L209" s="6"/>
      <c r="M209" s="15">
        <f t="shared" si="152"/>
        <v>0</v>
      </c>
      <c r="N209" s="6"/>
      <c r="O209" s="6"/>
      <c r="P209" s="15">
        <f t="shared" si="153"/>
        <v>0</v>
      </c>
      <c r="Q209" s="6"/>
      <c r="R209" s="6"/>
      <c r="S209" s="15">
        <f t="shared" si="154"/>
        <v>0</v>
      </c>
      <c r="T209" s="7">
        <f t="shared" si="113"/>
        <v>0</v>
      </c>
      <c r="U209" s="7">
        <f t="shared" si="113"/>
        <v>0</v>
      </c>
      <c r="V209" s="7">
        <f t="shared" si="113"/>
        <v>0</v>
      </c>
    </row>
    <row r="210" spans="1:22" ht="18" customHeight="1" x14ac:dyDescent="0.25">
      <c r="A210" s="42"/>
      <c r="B210" s="42"/>
      <c r="C210" s="42"/>
      <c r="D210" s="5" t="s">
        <v>206</v>
      </c>
      <c r="E210" s="6"/>
      <c r="F210" s="6"/>
      <c r="G210" s="15">
        <f>SUM(E210:F210)</f>
        <v>0</v>
      </c>
      <c r="H210" s="6"/>
      <c r="I210" s="6"/>
      <c r="J210" s="15">
        <f>SUM(H210:I210)</f>
        <v>0</v>
      </c>
      <c r="K210" s="6"/>
      <c r="L210" s="6"/>
      <c r="M210" s="15">
        <f>SUM(K210:L210)</f>
        <v>0</v>
      </c>
      <c r="N210" s="6"/>
      <c r="O210" s="6"/>
      <c r="P210" s="15">
        <f>SUM(N210:O210)</f>
        <v>0</v>
      </c>
      <c r="Q210" s="6"/>
      <c r="R210" s="6"/>
      <c r="S210" s="15">
        <f>SUM(Q210:R210)</f>
        <v>0</v>
      </c>
      <c r="T210" s="7">
        <f t="shared" si="113"/>
        <v>0</v>
      </c>
      <c r="U210" s="7">
        <f t="shared" si="113"/>
        <v>0</v>
      </c>
      <c r="V210" s="7">
        <f t="shared" si="113"/>
        <v>0</v>
      </c>
    </row>
    <row r="211" spans="1:22" ht="18" customHeight="1" x14ac:dyDescent="0.25">
      <c r="A211" s="42"/>
      <c r="B211" s="42"/>
      <c r="C211" s="42"/>
      <c r="D211" s="5" t="s">
        <v>207</v>
      </c>
      <c r="E211" s="6"/>
      <c r="F211" s="6"/>
      <c r="G211" s="15">
        <f>SUM(E211:F211)</f>
        <v>0</v>
      </c>
      <c r="H211" s="6"/>
      <c r="I211" s="6"/>
      <c r="J211" s="15">
        <f>SUM(H211:I211)</f>
        <v>0</v>
      </c>
      <c r="K211" s="6"/>
      <c r="L211" s="6"/>
      <c r="M211" s="15">
        <f>SUM(K211:L211)</f>
        <v>0</v>
      </c>
      <c r="N211" s="6"/>
      <c r="O211" s="6"/>
      <c r="P211" s="15">
        <f>SUM(N211:O211)</f>
        <v>0</v>
      </c>
      <c r="Q211" s="6"/>
      <c r="R211" s="6"/>
      <c r="S211" s="15">
        <f>SUM(Q211:R211)</f>
        <v>0</v>
      </c>
      <c r="T211" s="7">
        <f t="shared" si="113"/>
        <v>0</v>
      </c>
      <c r="U211" s="7">
        <f t="shared" si="113"/>
        <v>0</v>
      </c>
      <c r="V211" s="7">
        <f t="shared" si="113"/>
        <v>0</v>
      </c>
    </row>
    <row r="212" spans="1:22" ht="18" customHeight="1" x14ac:dyDescent="0.25">
      <c r="A212" s="42"/>
      <c r="B212" s="42"/>
      <c r="C212" s="42"/>
      <c r="D212" s="8"/>
      <c r="E212" s="6"/>
      <c r="F212" s="15"/>
      <c r="G212" s="15">
        <f>SUM(E212:F212)</f>
        <v>0</v>
      </c>
      <c r="H212" s="6"/>
      <c r="I212" s="15"/>
      <c r="J212" s="15">
        <f>SUM(H212:I212)</f>
        <v>0</v>
      </c>
      <c r="K212" s="6"/>
      <c r="L212" s="15"/>
      <c r="M212" s="15">
        <f>SUM(K212:L212)</f>
        <v>0</v>
      </c>
      <c r="N212" s="6"/>
      <c r="O212" s="15"/>
      <c r="P212" s="15">
        <f>SUM(N212:O212)</f>
        <v>0</v>
      </c>
      <c r="Q212" s="6"/>
      <c r="R212" s="15"/>
      <c r="S212" s="15">
        <f>SUM(Q212:R212)</f>
        <v>0</v>
      </c>
      <c r="T212" s="7">
        <f t="shared" si="113"/>
        <v>0</v>
      </c>
      <c r="U212" s="7">
        <f t="shared" si="113"/>
        <v>0</v>
      </c>
      <c r="V212" s="7">
        <f t="shared" si="113"/>
        <v>0</v>
      </c>
    </row>
    <row r="213" spans="1:22" s="17" customFormat="1" ht="18" customHeight="1" x14ac:dyDescent="0.25">
      <c r="A213" s="42"/>
      <c r="B213" s="42"/>
      <c r="C213" s="43"/>
      <c r="D213" s="9" t="s">
        <v>23</v>
      </c>
      <c r="E213" s="10">
        <f t="shared" ref="E213:F213" si="155">SUM(E207:E212)</f>
        <v>0</v>
      </c>
      <c r="F213" s="10">
        <f t="shared" si="155"/>
        <v>0</v>
      </c>
      <c r="G213" s="10">
        <f>SUM(G207:G212)</f>
        <v>0</v>
      </c>
      <c r="H213" s="10">
        <f t="shared" ref="H213:I213" si="156">SUM(H207:H212)</f>
        <v>0</v>
      </c>
      <c r="I213" s="10">
        <f t="shared" si="156"/>
        <v>0</v>
      </c>
      <c r="J213" s="10">
        <f>SUM(J207:J212)</f>
        <v>0</v>
      </c>
      <c r="K213" s="10">
        <f t="shared" ref="K213:L213" si="157">SUM(K207:K212)</f>
        <v>0</v>
      </c>
      <c r="L213" s="10">
        <f t="shared" si="157"/>
        <v>0</v>
      </c>
      <c r="M213" s="10">
        <f>SUM(M207:M212)</f>
        <v>0</v>
      </c>
      <c r="N213" s="10">
        <f t="shared" ref="N213:O213" si="158">SUM(N207:N212)</f>
        <v>0</v>
      </c>
      <c r="O213" s="10">
        <f t="shared" si="158"/>
        <v>0</v>
      </c>
      <c r="P213" s="10">
        <f>SUM(P207:P212)</f>
        <v>0</v>
      </c>
      <c r="Q213" s="10">
        <f t="shared" ref="Q213:R213" si="159">SUM(Q207:Q212)</f>
        <v>0</v>
      </c>
      <c r="R213" s="10">
        <f t="shared" si="159"/>
        <v>0</v>
      </c>
      <c r="S213" s="10">
        <f>SUM(S207:S212)</f>
        <v>0</v>
      </c>
      <c r="T213" s="12">
        <f t="shared" si="113"/>
        <v>0</v>
      </c>
      <c r="U213" s="12">
        <f t="shared" si="113"/>
        <v>0</v>
      </c>
      <c r="V213" s="12">
        <f t="shared" si="113"/>
        <v>0</v>
      </c>
    </row>
    <row r="214" spans="1:22" ht="18" customHeight="1" x14ac:dyDescent="0.25">
      <c r="A214" s="42"/>
      <c r="B214" s="43"/>
      <c r="C214" s="39" t="s">
        <v>33</v>
      </c>
      <c r="D214" s="40"/>
      <c r="E214" s="16">
        <f t="shared" ref="E214:S214" si="160">SUM(E213,E206,E200)</f>
        <v>0</v>
      </c>
      <c r="F214" s="16">
        <f t="shared" si="160"/>
        <v>0</v>
      </c>
      <c r="G214" s="16">
        <f t="shared" si="160"/>
        <v>0</v>
      </c>
      <c r="H214" s="16">
        <f t="shared" si="160"/>
        <v>0</v>
      </c>
      <c r="I214" s="16">
        <f t="shared" si="160"/>
        <v>0</v>
      </c>
      <c r="J214" s="16">
        <f t="shared" si="160"/>
        <v>0</v>
      </c>
      <c r="K214" s="16">
        <f t="shared" si="160"/>
        <v>0</v>
      </c>
      <c r="L214" s="16">
        <f t="shared" si="160"/>
        <v>0</v>
      </c>
      <c r="M214" s="16">
        <f t="shared" si="160"/>
        <v>0</v>
      </c>
      <c r="N214" s="16">
        <f t="shared" si="160"/>
        <v>0</v>
      </c>
      <c r="O214" s="16">
        <f t="shared" si="160"/>
        <v>0</v>
      </c>
      <c r="P214" s="16">
        <f t="shared" si="160"/>
        <v>0</v>
      </c>
      <c r="Q214" s="16">
        <f t="shared" si="160"/>
        <v>0</v>
      </c>
      <c r="R214" s="16">
        <f t="shared" si="160"/>
        <v>0</v>
      </c>
      <c r="S214" s="16">
        <f t="shared" si="160"/>
        <v>0</v>
      </c>
      <c r="T214" s="16">
        <f t="shared" si="113"/>
        <v>0</v>
      </c>
      <c r="U214" s="16">
        <f t="shared" si="113"/>
        <v>0</v>
      </c>
      <c r="V214" s="16">
        <f t="shared" si="113"/>
        <v>0</v>
      </c>
    </row>
    <row r="215" spans="1:22" ht="18" customHeight="1" x14ac:dyDescent="0.25">
      <c r="A215" s="43"/>
      <c r="B215" s="36" t="s">
        <v>208</v>
      </c>
      <c r="C215" s="37"/>
      <c r="D215" s="38"/>
      <c r="E215" s="18">
        <f t="shared" ref="E215:S215" si="161">SUM(E24,E51,E72,E107,E169,E195,E214)</f>
        <v>841</v>
      </c>
      <c r="F215" s="18">
        <f t="shared" si="161"/>
        <v>756</v>
      </c>
      <c r="G215" s="18">
        <f t="shared" si="161"/>
        <v>1595</v>
      </c>
      <c r="H215" s="18">
        <f t="shared" si="161"/>
        <v>0</v>
      </c>
      <c r="I215" s="18">
        <f t="shared" si="161"/>
        <v>0</v>
      </c>
      <c r="J215" s="18">
        <f t="shared" si="161"/>
        <v>0</v>
      </c>
      <c r="K215" s="18">
        <f t="shared" si="161"/>
        <v>0</v>
      </c>
      <c r="L215" s="18">
        <f t="shared" si="161"/>
        <v>0</v>
      </c>
      <c r="M215" s="18">
        <f t="shared" si="161"/>
        <v>0</v>
      </c>
      <c r="N215" s="18">
        <f t="shared" si="161"/>
        <v>0</v>
      </c>
      <c r="O215" s="18">
        <f t="shared" si="161"/>
        <v>0</v>
      </c>
      <c r="P215" s="18">
        <f t="shared" si="161"/>
        <v>0</v>
      </c>
      <c r="Q215" s="18">
        <f t="shared" si="161"/>
        <v>0</v>
      </c>
      <c r="R215" s="18">
        <f t="shared" si="161"/>
        <v>0</v>
      </c>
      <c r="S215" s="18">
        <f t="shared" si="161"/>
        <v>0</v>
      </c>
      <c r="T215" s="18">
        <f t="shared" si="113"/>
        <v>841</v>
      </c>
      <c r="U215" s="18">
        <f t="shared" si="113"/>
        <v>756</v>
      </c>
      <c r="V215" s="18">
        <f t="shared" si="113"/>
        <v>1595</v>
      </c>
    </row>
  </sheetData>
  <mergeCells count="54">
    <mergeCell ref="E1:V1"/>
    <mergeCell ref="E4:G4"/>
    <mergeCell ref="H4:J4"/>
    <mergeCell ref="K4:M4"/>
    <mergeCell ref="N4:P4"/>
    <mergeCell ref="Q4:S4"/>
    <mergeCell ref="T4:V4"/>
    <mergeCell ref="A6:A215"/>
    <mergeCell ref="B6:B24"/>
    <mergeCell ref="C6:C13"/>
    <mergeCell ref="C14:C19"/>
    <mergeCell ref="C20:C23"/>
    <mergeCell ref="C24:D24"/>
    <mergeCell ref="B25:B51"/>
    <mergeCell ref="C25:C30"/>
    <mergeCell ref="C31:C34"/>
    <mergeCell ref="C35:C40"/>
    <mergeCell ref="C41:C44"/>
    <mergeCell ref="C45:C50"/>
    <mergeCell ref="C51:D51"/>
    <mergeCell ref="B52:B72"/>
    <mergeCell ref="C52:C62"/>
    <mergeCell ref="C63:C71"/>
    <mergeCell ref="C72:D72"/>
    <mergeCell ref="B73:B107"/>
    <mergeCell ref="C73:C76"/>
    <mergeCell ref="C77:C78"/>
    <mergeCell ref="C79:C82"/>
    <mergeCell ref="C83:C87"/>
    <mergeCell ref="C88:C94"/>
    <mergeCell ref="C95:C98"/>
    <mergeCell ref="C99:C106"/>
    <mergeCell ref="C107:D107"/>
    <mergeCell ref="C134:C141"/>
    <mergeCell ref="C142:C146"/>
    <mergeCell ref="C147:C153"/>
    <mergeCell ref="C154:C160"/>
    <mergeCell ref="C161:C168"/>
    <mergeCell ref="B215:D215"/>
    <mergeCell ref="C169:D169"/>
    <mergeCell ref="B170:B195"/>
    <mergeCell ref="C170:C177"/>
    <mergeCell ref="C178:C194"/>
    <mergeCell ref="C195:D195"/>
    <mergeCell ref="B196:B214"/>
    <mergeCell ref="C196:C200"/>
    <mergeCell ref="C201:C206"/>
    <mergeCell ref="C207:C213"/>
    <mergeCell ref="C214:D214"/>
    <mergeCell ref="B108:B169"/>
    <mergeCell ref="C108:C114"/>
    <mergeCell ref="C115:C119"/>
    <mergeCell ref="C120:C123"/>
    <mergeCell ref="C124:C133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25"/>
  <sheetViews>
    <sheetView topLeftCell="A4" zoomScale="77" zoomScaleNormal="77" workbookViewId="0">
      <selection activeCell="C26" sqref="C26"/>
    </sheetView>
  </sheetViews>
  <sheetFormatPr baseColWidth="10" defaultColWidth="11.42578125" defaultRowHeight="18" customHeight="1" x14ac:dyDescent="0.2"/>
  <cols>
    <col min="1" max="1" width="11.42578125" style="22"/>
    <col min="2" max="2" width="31.85546875" style="33" customWidth="1"/>
    <col min="3" max="3" width="20" style="34" customWidth="1"/>
    <col min="4" max="4" width="27.42578125" style="34" customWidth="1"/>
    <col min="5" max="5" width="36.85546875" style="33" customWidth="1"/>
    <col min="6" max="6" width="13.7109375" style="35" customWidth="1"/>
    <col min="7" max="19" width="11.42578125" style="35"/>
    <col min="20" max="20" width="13.140625" style="35" customWidth="1"/>
    <col min="21" max="23" width="11.42578125" style="35"/>
    <col min="24" max="16384" width="11.42578125" style="22"/>
  </cols>
  <sheetData>
    <row r="1" spans="2:23" ht="18" customHeight="1" x14ac:dyDescent="0.2">
      <c r="B1" s="20"/>
      <c r="C1" s="20"/>
      <c r="D1" s="20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2:23" ht="18" customHeight="1" x14ac:dyDescent="0.2">
      <c r="B2" s="20"/>
      <c r="C2" s="20"/>
      <c r="D2" s="20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2:23" ht="18" customHeight="1" x14ac:dyDescent="0.2">
      <c r="B3" s="57" t="s">
        <v>209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spans="2:23" ht="18" customHeight="1" x14ac:dyDescent="0.2">
      <c r="B4" s="20"/>
      <c r="C4" s="20"/>
      <c r="D4" s="20"/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2:23" s="24" customFormat="1" ht="23.25" customHeight="1" x14ac:dyDescent="0.25">
      <c r="B5" s="23"/>
      <c r="C5" s="23"/>
      <c r="D5" s="23"/>
      <c r="E5" s="23"/>
      <c r="F5" s="58" t="s">
        <v>1</v>
      </c>
      <c r="G5" s="58"/>
      <c r="H5" s="58"/>
      <c r="I5" s="59" t="s">
        <v>2</v>
      </c>
      <c r="J5" s="59"/>
      <c r="K5" s="59"/>
      <c r="L5" s="60" t="s">
        <v>3</v>
      </c>
      <c r="M5" s="60"/>
      <c r="N5" s="60"/>
      <c r="O5" s="61" t="s">
        <v>4</v>
      </c>
      <c r="P5" s="61"/>
      <c r="Q5" s="61"/>
      <c r="R5" s="62" t="s">
        <v>5</v>
      </c>
      <c r="S5" s="62"/>
      <c r="T5" s="62"/>
      <c r="U5" s="63" t="s">
        <v>6</v>
      </c>
      <c r="V5" s="63"/>
      <c r="W5" s="63"/>
    </row>
    <row r="6" spans="2:23" s="27" customFormat="1" ht="22.5" customHeight="1" x14ac:dyDescent="0.2">
      <c r="B6" s="25" t="s">
        <v>7</v>
      </c>
      <c r="C6" s="26" t="s">
        <v>8</v>
      </c>
      <c r="D6" s="25" t="s">
        <v>9</v>
      </c>
      <c r="E6" s="25" t="s">
        <v>10</v>
      </c>
      <c r="F6" s="25" t="s">
        <v>210</v>
      </c>
      <c r="G6" s="25" t="s">
        <v>11</v>
      </c>
      <c r="H6" s="25" t="s">
        <v>13</v>
      </c>
      <c r="I6" s="25" t="s">
        <v>210</v>
      </c>
      <c r="J6" s="25" t="s">
        <v>11</v>
      </c>
      <c r="K6" s="25" t="s">
        <v>13</v>
      </c>
      <c r="L6" s="25" t="s">
        <v>210</v>
      </c>
      <c r="M6" s="25" t="s">
        <v>11</v>
      </c>
      <c r="N6" s="25" t="s">
        <v>13</v>
      </c>
      <c r="O6" s="25" t="s">
        <v>210</v>
      </c>
      <c r="P6" s="25" t="s">
        <v>11</v>
      </c>
      <c r="Q6" s="25" t="s">
        <v>13</v>
      </c>
      <c r="R6" s="25" t="s">
        <v>210</v>
      </c>
      <c r="S6" s="25" t="s">
        <v>11</v>
      </c>
      <c r="T6" s="25" t="s">
        <v>13</v>
      </c>
      <c r="U6" s="25" t="s">
        <v>210</v>
      </c>
      <c r="V6" s="25" t="s">
        <v>11</v>
      </c>
      <c r="W6" s="25" t="s">
        <v>13</v>
      </c>
    </row>
    <row r="7" spans="2:23" s="20" customFormat="1" ht="18" customHeight="1" x14ac:dyDescent="0.2">
      <c r="B7" s="41" t="s">
        <v>14</v>
      </c>
      <c r="C7" s="52" t="s">
        <v>211</v>
      </c>
      <c r="D7" s="52" t="s">
        <v>212</v>
      </c>
      <c r="E7" s="5" t="s">
        <v>213</v>
      </c>
      <c r="F7" s="6">
        <v>73</v>
      </c>
      <c r="G7" s="6">
        <v>67</v>
      </c>
      <c r="H7" s="15">
        <f>SUM(F7:G7)</f>
        <v>140</v>
      </c>
      <c r="I7" s="6"/>
      <c r="J7" s="6"/>
      <c r="K7" s="15">
        <f t="shared" ref="K7:K9" si="0">SUM(I7:J7)</f>
        <v>0</v>
      </c>
      <c r="L7" s="6"/>
      <c r="M7" s="6"/>
      <c r="N7" s="15">
        <f t="shared" ref="N7:N9" si="1">SUM(L7:M7)</f>
        <v>0</v>
      </c>
      <c r="O7" s="6"/>
      <c r="P7" s="6"/>
      <c r="Q7" s="15">
        <f t="shared" ref="Q7:Q9" si="2">SUM(O7:P7)</f>
        <v>0</v>
      </c>
      <c r="R7" s="6"/>
      <c r="S7" s="6"/>
      <c r="T7" s="15">
        <f t="shared" ref="T7:T9" si="3">SUM(R7:S7)</f>
        <v>0</v>
      </c>
      <c r="U7" s="7">
        <f>SUM(F7,I7,L7,O7,R7)</f>
        <v>73</v>
      </c>
      <c r="V7" s="7">
        <f t="shared" ref="V7:W22" si="4">SUM(G7,J7,M7,P7,S7)</f>
        <v>67</v>
      </c>
      <c r="W7" s="7">
        <f t="shared" si="4"/>
        <v>140</v>
      </c>
    </row>
    <row r="8" spans="2:23" s="20" customFormat="1" ht="18" customHeight="1" x14ac:dyDescent="0.2">
      <c r="B8" s="42"/>
      <c r="C8" s="53"/>
      <c r="D8" s="53"/>
      <c r="E8" s="5" t="s">
        <v>214</v>
      </c>
      <c r="F8" s="6">
        <v>27</v>
      </c>
      <c r="G8" s="6">
        <v>29</v>
      </c>
      <c r="H8" s="15">
        <f>SUM(F8:G8)</f>
        <v>56</v>
      </c>
      <c r="I8" s="6"/>
      <c r="J8" s="6"/>
      <c r="K8" s="15">
        <f t="shared" si="0"/>
        <v>0</v>
      </c>
      <c r="L8" s="6"/>
      <c r="M8" s="6"/>
      <c r="N8" s="15">
        <f t="shared" si="1"/>
        <v>0</v>
      </c>
      <c r="O8" s="6"/>
      <c r="P8" s="6"/>
      <c r="Q8" s="15">
        <f t="shared" si="2"/>
        <v>0</v>
      </c>
      <c r="R8" s="6"/>
      <c r="S8" s="6"/>
      <c r="T8" s="15">
        <f t="shared" si="3"/>
        <v>0</v>
      </c>
      <c r="U8" s="7">
        <f t="shared" ref="U8:W25" si="5">SUM(F8,I8,L8,O8,R8)</f>
        <v>27</v>
      </c>
      <c r="V8" s="7">
        <f t="shared" si="4"/>
        <v>29</v>
      </c>
      <c r="W8" s="7">
        <f t="shared" si="4"/>
        <v>56</v>
      </c>
    </row>
    <row r="9" spans="2:23" s="20" customFormat="1" ht="18" customHeight="1" x14ac:dyDescent="0.2">
      <c r="B9" s="42"/>
      <c r="C9" s="53"/>
      <c r="D9" s="54"/>
      <c r="E9" s="28" t="s">
        <v>23</v>
      </c>
      <c r="F9" s="29">
        <f>SUM(F7:F8)</f>
        <v>100</v>
      </c>
      <c r="G9" s="29">
        <f>SUM(G7:G8)</f>
        <v>96</v>
      </c>
      <c r="H9" s="29">
        <f>SUM(F9:G9)</f>
        <v>196</v>
      </c>
      <c r="I9" s="29">
        <f t="shared" ref="I9:J9" si="6">SUM(I7:I8)</f>
        <v>0</v>
      </c>
      <c r="J9" s="29">
        <f t="shared" si="6"/>
        <v>0</v>
      </c>
      <c r="K9" s="29">
        <f t="shared" si="0"/>
        <v>0</v>
      </c>
      <c r="L9" s="29">
        <f t="shared" ref="L9:M9" si="7">SUM(L7:L8)</f>
        <v>0</v>
      </c>
      <c r="M9" s="29">
        <f t="shared" si="7"/>
        <v>0</v>
      </c>
      <c r="N9" s="29">
        <f t="shared" si="1"/>
        <v>0</v>
      </c>
      <c r="O9" s="29">
        <f t="shared" ref="O9:P9" si="8">SUM(O7:O8)</f>
        <v>0</v>
      </c>
      <c r="P9" s="29">
        <f t="shared" si="8"/>
        <v>0</v>
      </c>
      <c r="Q9" s="29">
        <f t="shared" si="2"/>
        <v>0</v>
      </c>
      <c r="R9" s="29">
        <f t="shared" ref="R9:S9" si="9">SUM(R7:R8)</f>
        <v>0</v>
      </c>
      <c r="S9" s="29">
        <f t="shared" si="9"/>
        <v>0</v>
      </c>
      <c r="T9" s="29">
        <f t="shared" si="3"/>
        <v>0</v>
      </c>
      <c r="U9" s="29">
        <f t="shared" si="5"/>
        <v>100</v>
      </c>
      <c r="V9" s="29">
        <f t="shared" si="4"/>
        <v>96</v>
      </c>
      <c r="W9" s="29">
        <f t="shared" si="4"/>
        <v>196</v>
      </c>
    </row>
    <row r="10" spans="2:23" s="20" customFormat="1" ht="18" customHeight="1" x14ac:dyDescent="0.2">
      <c r="B10" s="42"/>
      <c r="C10" s="54"/>
      <c r="D10" s="55" t="s">
        <v>33</v>
      </c>
      <c r="E10" s="56"/>
      <c r="F10" s="30">
        <f>F9</f>
        <v>100</v>
      </c>
      <c r="G10" s="30">
        <f>G9</f>
        <v>96</v>
      </c>
      <c r="H10" s="30">
        <f>H9</f>
        <v>196</v>
      </c>
      <c r="I10" s="30">
        <f t="shared" ref="I10:T10" si="10">I9</f>
        <v>0</v>
      </c>
      <c r="J10" s="30">
        <f t="shared" si="10"/>
        <v>0</v>
      </c>
      <c r="K10" s="30">
        <f t="shared" si="10"/>
        <v>0</v>
      </c>
      <c r="L10" s="30">
        <f t="shared" si="10"/>
        <v>0</v>
      </c>
      <c r="M10" s="30">
        <f t="shared" si="10"/>
        <v>0</v>
      </c>
      <c r="N10" s="30">
        <f t="shared" si="10"/>
        <v>0</v>
      </c>
      <c r="O10" s="30">
        <f t="shared" si="10"/>
        <v>0</v>
      </c>
      <c r="P10" s="30">
        <f t="shared" si="10"/>
        <v>0</v>
      </c>
      <c r="Q10" s="30">
        <f t="shared" si="10"/>
        <v>0</v>
      </c>
      <c r="R10" s="30">
        <f t="shared" si="10"/>
        <v>0</v>
      </c>
      <c r="S10" s="30">
        <f t="shared" si="10"/>
        <v>0</v>
      </c>
      <c r="T10" s="30">
        <f t="shared" si="10"/>
        <v>0</v>
      </c>
      <c r="U10" s="30">
        <f t="shared" si="5"/>
        <v>100</v>
      </c>
      <c r="V10" s="30">
        <f t="shared" si="4"/>
        <v>96</v>
      </c>
      <c r="W10" s="30">
        <f t="shared" si="4"/>
        <v>196</v>
      </c>
    </row>
    <row r="11" spans="2:23" s="20" customFormat="1" ht="18" customHeight="1" x14ac:dyDescent="0.2">
      <c r="B11" s="42"/>
      <c r="C11" s="52" t="s">
        <v>78</v>
      </c>
      <c r="D11" s="52" t="s">
        <v>215</v>
      </c>
      <c r="E11" s="5" t="s">
        <v>216</v>
      </c>
      <c r="F11" s="6"/>
      <c r="G11" s="6"/>
      <c r="H11" s="6">
        <f>SUM(F11:G11)</f>
        <v>0</v>
      </c>
      <c r="I11" s="6"/>
      <c r="J11" s="6"/>
      <c r="K11" s="6">
        <f t="shared" ref="K11:K12" si="11">SUM(I11:J11)</f>
        <v>0</v>
      </c>
      <c r="L11" s="6"/>
      <c r="M11" s="6"/>
      <c r="N11" s="6">
        <f t="shared" ref="N11:N12" si="12">SUM(L11:M11)</f>
        <v>0</v>
      </c>
      <c r="O11" s="6"/>
      <c r="P11" s="6"/>
      <c r="Q11" s="6">
        <f t="shared" ref="Q11:Q12" si="13">SUM(O11:P11)</f>
        <v>0</v>
      </c>
      <c r="R11" s="6"/>
      <c r="S11" s="6"/>
      <c r="T11" s="6">
        <f t="shared" ref="T11:T12" si="14">SUM(R11:S11)</f>
        <v>0</v>
      </c>
      <c r="U11" s="7">
        <f t="shared" si="5"/>
        <v>0</v>
      </c>
      <c r="V11" s="7">
        <f t="shared" si="4"/>
        <v>0</v>
      </c>
      <c r="W11" s="7">
        <f t="shared" si="4"/>
        <v>0</v>
      </c>
    </row>
    <row r="12" spans="2:23" s="20" customFormat="1" ht="18" customHeight="1" x14ac:dyDescent="0.2">
      <c r="B12" s="42"/>
      <c r="C12" s="53"/>
      <c r="D12" s="54"/>
      <c r="E12" s="28" t="s">
        <v>23</v>
      </c>
      <c r="F12" s="29">
        <f>SUM(F11:F11)</f>
        <v>0</v>
      </c>
      <c r="G12" s="29">
        <f>SUM(G11:G11)</f>
        <v>0</v>
      </c>
      <c r="H12" s="29">
        <f>SUM(F12:G12)</f>
        <v>0</v>
      </c>
      <c r="I12" s="29">
        <f t="shared" ref="I12:J12" si="15">SUM(I11:I11)</f>
        <v>0</v>
      </c>
      <c r="J12" s="29">
        <f t="shared" si="15"/>
        <v>0</v>
      </c>
      <c r="K12" s="29">
        <f t="shared" si="11"/>
        <v>0</v>
      </c>
      <c r="L12" s="29">
        <f t="shared" ref="L12:M12" si="16">SUM(L11:L11)</f>
        <v>0</v>
      </c>
      <c r="M12" s="29">
        <f t="shared" si="16"/>
        <v>0</v>
      </c>
      <c r="N12" s="29">
        <f t="shared" si="12"/>
        <v>0</v>
      </c>
      <c r="O12" s="29">
        <f t="shared" ref="O12:P12" si="17">SUM(O11:O11)</f>
        <v>0</v>
      </c>
      <c r="P12" s="29">
        <f t="shared" si="17"/>
        <v>0</v>
      </c>
      <c r="Q12" s="29">
        <f t="shared" si="13"/>
        <v>0</v>
      </c>
      <c r="R12" s="29">
        <f t="shared" ref="R12:S12" si="18">SUM(R11:R11)</f>
        <v>0</v>
      </c>
      <c r="S12" s="29">
        <f t="shared" si="18"/>
        <v>0</v>
      </c>
      <c r="T12" s="29">
        <f t="shared" si="14"/>
        <v>0</v>
      </c>
      <c r="U12" s="29">
        <f t="shared" si="5"/>
        <v>0</v>
      </c>
      <c r="V12" s="29">
        <f t="shared" si="4"/>
        <v>0</v>
      </c>
      <c r="W12" s="29">
        <f t="shared" si="4"/>
        <v>0</v>
      </c>
    </row>
    <row r="13" spans="2:23" s="20" customFormat="1" ht="18" customHeight="1" x14ac:dyDescent="0.2">
      <c r="B13" s="42"/>
      <c r="C13" s="54"/>
      <c r="D13" s="55" t="s">
        <v>33</v>
      </c>
      <c r="E13" s="56"/>
      <c r="F13" s="30">
        <f>F12</f>
        <v>0</v>
      </c>
      <c r="G13" s="30">
        <f>G12</f>
        <v>0</v>
      </c>
      <c r="H13" s="30">
        <f>H12</f>
        <v>0</v>
      </c>
      <c r="I13" s="30">
        <f t="shared" ref="I13:T13" si="19">I12</f>
        <v>0</v>
      </c>
      <c r="J13" s="30">
        <f t="shared" si="19"/>
        <v>0</v>
      </c>
      <c r="K13" s="30">
        <f t="shared" si="19"/>
        <v>0</v>
      </c>
      <c r="L13" s="30">
        <f t="shared" si="19"/>
        <v>0</v>
      </c>
      <c r="M13" s="30">
        <f t="shared" si="19"/>
        <v>0</v>
      </c>
      <c r="N13" s="30">
        <f t="shared" si="19"/>
        <v>0</v>
      </c>
      <c r="O13" s="30">
        <f t="shared" si="19"/>
        <v>0</v>
      </c>
      <c r="P13" s="30">
        <f t="shared" si="19"/>
        <v>0</v>
      </c>
      <c r="Q13" s="30">
        <f t="shared" si="19"/>
        <v>0</v>
      </c>
      <c r="R13" s="30">
        <f t="shared" si="19"/>
        <v>0</v>
      </c>
      <c r="S13" s="30">
        <f t="shared" si="19"/>
        <v>0</v>
      </c>
      <c r="T13" s="30">
        <f t="shared" si="19"/>
        <v>0</v>
      </c>
      <c r="U13" s="30">
        <f t="shared" si="5"/>
        <v>0</v>
      </c>
      <c r="V13" s="30">
        <f t="shared" si="4"/>
        <v>0</v>
      </c>
      <c r="W13" s="30">
        <f t="shared" si="4"/>
        <v>0</v>
      </c>
    </row>
    <row r="14" spans="2:23" s="20" customFormat="1" ht="18" customHeight="1" x14ac:dyDescent="0.2">
      <c r="B14" s="42"/>
      <c r="C14" s="52" t="s">
        <v>111</v>
      </c>
      <c r="D14" s="52" t="s">
        <v>217</v>
      </c>
      <c r="E14" s="5" t="s">
        <v>218</v>
      </c>
      <c r="F14" s="6">
        <v>22</v>
      </c>
      <c r="G14" s="6">
        <v>19</v>
      </c>
      <c r="H14" s="15">
        <f t="shared" ref="H14:H23" si="20">SUM(F14:G14)</f>
        <v>41</v>
      </c>
      <c r="I14" s="6"/>
      <c r="J14" s="6"/>
      <c r="K14" s="15">
        <f t="shared" ref="K14:K17" si="21">SUM(I14:J14)</f>
        <v>0</v>
      </c>
      <c r="L14" s="6"/>
      <c r="M14" s="6"/>
      <c r="N14" s="15">
        <f t="shared" ref="N14:N17" si="22">SUM(L14:M14)</f>
        <v>0</v>
      </c>
      <c r="O14" s="6"/>
      <c r="P14" s="6"/>
      <c r="Q14" s="15">
        <f t="shared" ref="Q14:Q17" si="23">SUM(O14:P14)</f>
        <v>0</v>
      </c>
      <c r="R14" s="6"/>
      <c r="S14" s="6"/>
      <c r="T14" s="15">
        <f t="shared" ref="T14:T17" si="24">SUM(R14:S14)</f>
        <v>0</v>
      </c>
      <c r="U14" s="7">
        <f t="shared" si="5"/>
        <v>22</v>
      </c>
      <c r="V14" s="7">
        <f t="shared" si="4"/>
        <v>19</v>
      </c>
      <c r="W14" s="7">
        <f t="shared" si="4"/>
        <v>41</v>
      </c>
    </row>
    <row r="15" spans="2:23" s="20" customFormat="1" ht="18" customHeight="1" x14ac:dyDescent="0.2">
      <c r="B15" s="42"/>
      <c r="C15" s="53"/>
      <c r="D15" s="53"/>
      <c r="E15" s="5" t="s">
        <v>219</v>
      </c>
      <c r="F15" s="6">
        <v>27</v>
      </c>
      <c r="G15" s="6">
        <v>31</v>
      </c>
      <c r="H15" s="15">
        <f t="shared" si="20"/>
        <v>58</v>
      </c>
      <c r="I15" s="6"/>
      <c r="J15" s="6"/>
      <c r="K15" s="15">
        <f t="shared" si="21"/>
        <v>0</v>
      </c>
      <c r="L15" s="6"/>
      <c r="M15" s="6"/>
      <c r="N15" s="15">
        <f t="shared" si="22"/>
        <v>0</v>
      </c>
      <c r="O15" s="6"/>
      <c r="P15" s="6"/>
      <c r="Q15" s="15">
        <f t="shared" si="23"/>
        <v>0</v>
      </c>
      <c r="R15" s="6"/>
      <c r="S15" s="6"/>
      <c r="T15" s="15">
        <f t="shared" si="24"/>
        <v>0</v>
      </c>
      <c r="U15" s="7">
        <f t="shared" si="5"/>
        <v>27</v>
      </c>
      <c r="V15" s="7">
        <f t="shared" si="4"/>
        <v>31</v>
      </c>
      <c r="W15" s="7">
        <f t="shared" si="4"/>
        <v>58</v>
      </c>
    </row>
    <row r="16" spans="2:23" s="20" customFormat="1" ht="18" customHeight="1" x14ac:dyDescent="0.2">
      <c r="B16" s="42"/>
      <c r="C16" s="53"/>
      <c r="D16" s="53"/>
      <c r="E16" s="5" t="s">
        <v>220</v>
      </c>
      <c r="F16" s="6"/>
      <c r="G16" s="6"/>
      <c r="H16" s="15">
        <f t="shared" si="20"/>
        <v>0</v>
      </c>
      <c r="I16" s="6"/>
      <c r="J16" s="6"/>
      <c r="K16" s="15">
        <f t="shared" si="21"/>
        <v>0</v>
      </c>
      <c r="L16" s="6"/>
      <c r="M16" s="6"/>
      <c r="N16" s="15">
        <f t="shared" si="22"/>
        <v>0</v>
      </c>
      <c r="O16" s="6"/>
      <c r="P16" s="6"/>
      <c r="Q16" s="15">
        <f t="shared" si="23"/>
        <v>0</v>
      </c>
      <c r="R16" s="6"/>
      <c r="S16" s="6"/>
      <c r="T16" s="15">
        <f t="shared" si="24"/>
        <v>0</v>
      </c>
      <c r="U16" s="7">
        <f t="shared" si="5"/>
        <v>0</v>
      </c>
      <c r="V16" s="7">
        <f t="shared" si="4"/>
        <v>0</v>
      </c>
      <c r="W16" s="7">
        <f t="shared" si="4"/>
        <v>0</v>
      </c>
    </row>
    <row r="17" spans="2:23" s="20" customFormat="1" ht="18" customHeight="1" x14ac:dyDescent="0.2">
      <c r="B17" s="42"/>
      <c r="C17" s="53"/>
      <c r="D17" s="54"/>
      <c r="E17" s="28" t="s">
        <v>23</v>
      </c>
      <c r="F17" s="29">
        <f>SUM(F14:F16)</f>
        <v>49</v>
      </c>
      <c r="G17" s="29">
        <f>SUM(G14:G16)</f>
        <v>50</v>
      </c>
      <c r="H17" s="31">
        <f t="shared" si="20"/>
        <v>99</v>
      </c>
      <c r="I17" s="29">
        <f t="shared" ref="I17:J17" si="25">SUM(I14:I16)</f>
        <v>0</v>
      </c>
      <c r="J17" s="29">
        <f t="shared" si="25"/>
        <v>0</v>
      </c>
      <c r="K17" s="31">
        <f t="shared" si="21"/>
        <v>0</v>
      </c>
      <c r="L17" s="29">
        <f t="shared" ref="L17:M17" si="26">SUM(L14:L16)</f>
        <v>0</v>
      </c>
      <c r="M17" s="29">
        <f t="shared" si="26"/>
        <v>0</v>
      </c>
      <c r="N17" s="31">
        <f t="shared" si="22"/>
        <v>0</v>
      </c>
      <c r="O17" s="29">
        <f t="shared" ref="O17:P17" si="27">SUM(O14:O16)</f>
        <v>0</v>
      </c>
      <c r="P17" s="29">
        <f t="shared" si="27"/>
        <v>0</v>
      </c>
      <c r="Q17" s="31">
        <f t="shared" si="23"/>
        <v>0</v>
      </c>
      <c r="R17" s="29">
        <f t="shared" ref="R17:S17" si="28">SUM(R14:R16)</f>
        <v>0</v>
      </c>
      <c r="S17" s="29">
        <f t="shared" si="28"/>
        <v>0</v>
      </c>
      <c r="T17" s="31">
        <f t="shared" si="24"/>
        <v>0</v>
      </c>
      <c r="U17" s="31">
        <f t="shared" si="5"/>
        <v>49</v>
      </c>
      <c r="V17" s="31">
        <f t="shared" si="4"/>
        <v>50</v>
      </c>
      <c r="W17" s="31">
        <f t="shared" si="4"/>
        <v>99</v>
      </c>
    </row>
    <row r="18" spans="2:23" s="20" customFormat="1" ht="18" customHeight="1" x14ac:dyDescent="0.2">
      <c r="B18" s="42"/>
      <c r="C18" s="54"/>
      <c r="D18" s="55" t="s">
        <v>33</v>
      </c>
      <c r="E18" s="56"/>
      <c r="F18" s="30">
        <f>F17</f>
        <v>49</v>
      </c>
      <c r="G18" s="30">
        <f>G17</f>
        <v>50</v>
      </c>
      <c r="H18" s="30">
        <f>H17</f>
        <v>99</v>
      </c>
      <c r="I18" s="30">
        <f t="shared" ref="I18:T18" si="29">I17</f>
        <v>0</v>
      </c>
      <c r="J18" s="30">
        <f t="shared" si="29"/>
        <v>0</v>
      </c>
      <c r="K18" s="30">
        <f t="shared" si="29"/>
        <v>0</v>
      </c>
      <c r="L18" s="30">
        <f t="shared" si="29"/>
        <v>0</v>
      </c>
      <c r="M18" s="30">
        <f t="shared" si="29"/>
        <v>0</v>
      </c>
      <c r="N18" s="30">
        <f t="shared" si="29"/>
        <v>0</v>
      </c>
      <c r="O18" s="30">
        <f t="shared" si="29"/>
        <v>0</v>
      </c>
      <c r="P18" s="30">
        <f t="shared" si="29"/>
        <v>0</v>
      </c>
      <c r="Q18" s="30">
        <f t="shared" si="29"/>
        <v>0</v>
      </c>
      <c r="R18" s="30">
        <f t="shared" si="29"/>
        <v>0</v>
      </c>
      <c r="S18" s="30">
        <f t="shared" si="29"/>
        <v>0</v>
      </c>
      <c r="T18" s="30">
        <f t="shared" si="29"/>
        <v>0</v>
      </c>
      <c r="U18" s="30">
        <f t="shared" si="5"/>
        <v>49</v>
      </c>
      <c r="V18" s="30">
        <f t="shared" si="4"/>
        <v>50</v>
      </c>
      <c r="W18" s="30">
        <f t="shared" si="4"/>
        <v>99</v>
      </c>
    </row>
    <row r="19" spans="2:23" s="20" customFormat="1" ht="18" customHeight="1" x14ac:dyDescent="0.2">
      <c r="B19" s="42"/>
      <c r="C19" s="52" t="s">
        <v>170</v>
      </c>
      <c r="D19" s="52" t="s">
        <v>221</v>
      </c>
      <c r="E19" s="5" t="s">
        <v>222</v>
      </c>
      <c r="F19" s="6">
        <v>24</v>
      </c>
      <c r="G19" s="6">
        <v>34</v>
      </c>
      <c r="H19" s="15">
        <f t="shared" si="20"/>
        <v>58</v>
      </c>
      <c r="I19" s="6"/>
      <c r="J19" s="6"/>
      <c r="K19" s="15">
        <f t="shared" ref="K19:K23" si="30">SUM(I19:J19)</f>
        <v>0</v>
      </c>
      <c r="L19" s="6"/>
      <c r="M19" s="6"/>
      <c r="N19" s="15">
        <f t="shared" ref="N19:N23" si="31">SUM(L19:M19)</f>
        <v>0</v>
      </c>
      <c r="O19" s="6"/>
      <c r="P19" s="6"/>
      <c r="Q19" s="15">
        <f t="shared" ref="Q19:Q23" si="32">SUM(O19:P19)</f>
        <v>0</v>
      </c>
      <c r="R19" s="6"/>
      <c r="S19" s="6"/>
      <c r="T19" s="15">
        <f t="shared" ref="T19:T23" si="33">SUM(R19:S19)</f>
        <v>0</v>
      </c>
      <c r="U19" s="7">
        <f t="shared" si="5"/>
        <v>24</v>
      </c>
      <c r="V19" s="7">
        <f t="shared" si="4"/>
        <v>34</v>
      </c>
      <c r="W19" s="7">
        <f t="shared" si="4"/>
        <v>58</v>
      </c>
    </row>
    <row r="20" spans="2:23" s="20" customFormat="1" ht="18" customHeight="1" x14ac:dyDescent="0.2">
      <c r="B20" s="42"/>
      <c r="C20" s="53"/>
      <c r="D20" s="53"/>
      <c r="E20" s="5" t="s">
        <v>223</v>
      </c>
      <c r="F20" s="6">
        <v>29</v>
      </c>
      <c r="G20" s="6">
        <v>36</v>
      </c>
      <c r="H20" s="15">
        <f t="shared" si="20"/>
        <v>65</v>
      </c>
      <c r="I20" s="6"/>
      <c r="J20" s="6"/>
      <c r="K20" s="15">
        <f t="shared" si="30"/>
        <v>0</v>
      </c>
      <c r="L20" s="6"/>
      <c r="M20" s="6"/>
      <c r="N20" s="15">
        <f t="shared" si="31"/>
        <v>0</v>
      </c>
      <c r="O20" s="6"/>
      <c r="P20" s="6"/>
      <c r="Q20" s="15">
        <f t="shared" si="32"/>
        <v>0</v>
      </c>
      <c r="R20" s="6"/>
      <c r="S20" s="6"/>
      <c r="T20" s="15">
        <f t="shared" si="33"/>
        <v>0</v>
      </c>
      <c r="U20" s="7">
        <f t="shared" si="5"/>
        <v>29</v>
      </c>
      <c r="V20" s="7">
        <f t="shared" si="4"/>
        <v>36</v>
      </c>
      <c r="W20" s="7">
        <f t="shared" si="4"/>
        <v>65</v>
      </c>
    </row>
    <row r="21" spans="2:23" s="20" customFormat="1" ht="18" customHeight="1" x14ac:dyDescent="0.2">
      <c r="B21" s="42"/>
      <c r="C21" s="53"/>
      <c r="D21" s="53"/>
      <c r="E21" s="5" t="s">
        <v>224</v>
      </c>
      <c r="F21" s="6">
        <v>1</v>
      </c>
      <c r="G21" s="6">
        <v>1</v>
      </c>
      <c r="H21" s="15">
        <f>SUM(F21:G21)</f>
        <v>2</v>
      </c>
      <c r="I21" s="6"/>
      <c r="J21" s="6"/>
      <c r="K21" s="15">
        <f t="shared" si="30"/>
        <v>0</v>
      </c>
      <c r="L21" s="6"/>
      <c r="M21" s="6"/>
      <c r="N21" s="15">
        <f t="shared" si="31"/>
        <v>0</v>
      </c>
      <c r="O21" s="6"/>
      <c r="P21" s="6"/>
      <c r="Q21" s="15">
        <f t="shared" si="32"/>
        <v>0</v>
      </c>
      <c r="R21" s="6"/>
      <c r="S21" s="6"/>
      <c r="T21" s="15">
        <f t="shared" si="33"/>
        <v>0</v>
      </c>
      <c r="U21" s="7">
        <f t="shared" si="5"/>
        <v>1</v>
      </c>
      <c r="V21" s="7">
        <f t="shared" si="4"/>
        <v>1</v>
      </c>
      <c r="W21" s="7">
        <f t="shared" si="4"/>
        <v>2</v>
      </c>
    </row>
    <row r="22" spans="2:23" s="20" customFormat="1" ht="18" customHeight="1" x14ac:dyDescent="0.2">
      <c r="B22" s="42"/>
      <c r="C22" s="53"/>
      <c r="D22" s="53"/>
      <c r="E22" s="5" t="s">
        <v>225</v>
      </c>
      <c r="F22" s="6">
        <v>26</v>
      </c>
      <c r="G22" s="6">
        <v>27</v>
      </c>
      <c r="H22" s="15">
        <f t="shared" si="20"/>
        <v>53</v>
      </c>
      <c r="I22" s="6"/>
      <c r="J22" s="6"/>
      <c r="K22" s="15">
        <f t="shared" si="30"/>
        <v>0</v>
      </c>
      <c r="L22" s="6"/>
      <c r="M22" s="6"/>
      <c r="N22" s="15">
        <f t="shared" si="31"/>
        <v>0</v>
      </c>
      <c r="O22" s="6"/>
      <c r="P22" s="6"/>
      <c r="Q22" s="15">
        <f t="shared" si="32"/>
        <v>0</v>
      </c>
      <c r="R22" s="6"/>
      <c r="S22" s="6"/>
      <c r="T22" s="15">
        <f t="shared" si="33"/>
        <v>0</v>
      </c>
      <c r="U22" s="7">
        <f t="shared" si="5"/>
        <v>26</v>
      </c>
      <c r="V22" s="7">
        <f t="shared" si="4"/>
        <v>27</v>
      </c>
      <c r="W22" s="7">
        <f t="shared" si="4"/>
        <v>53</v>
      </c>
    </row>
    <row r="23" spans="2:23" s="20" customFormat="1" ht="18" customHeight="1" x14ac:dyDescent="0.2">
      <c r="B23" s="42"/>
      <c r="C23" s="53"/>
      <c r="D23" s="54"/>
      <c r="E23" s="28" t="s">
        <v>23</v>
      </c>
      <c r="F23" s="29">
        <f>SUM(F19:F22)</f>
        <v>80</v>
      </c>
      <c r="G23" s="29">
        <f>SUM(G19:G22)</f>
        <v>98</v>
      </c>
      <c r="H23" s="31">
        <f t="shared" si="20"/>
        <v>178</v>
      </c>
      <c r="I23" s="29">
        <f t="shared" ref="I23:J23" si="34">SUM(I19:I22)</f>
        <v>0</v>
      </c>
      <c r="J23" s="29">
        <f t="shared" si="34"/>
        <v>0</v>
      </c>
      <c r="K23" s="31">
        <f t="shared" si="30"/>
        <v>0</v>
      </c>
      <c r="L23" s="29">
        <f t="shared" ref="L23:M23" si="35">SUM(L19:L22)</f>
        <v>0</v>
      </c>
      <c r="M23" s="29">
        <f t="shared" si="35"/>
        <v>0</v>
      </c>
      <c r="N23" s="31">
        <f t="shared" si="31"/>
        <v>0</v>
      </c>
      <c r="O23" s="29">
        <f t="shared" ref="O23:P23" si="36">SUM(O19:O22)</f>
        <v>0</v>
      </c>
      <c r="P23" s="29">
        <f t="shared" si="36"/>
        <v>0</v>
      </c>
      <c r="Q23" s="31">
        <f t="shared" si="32"/>
        <v>0</v>
      </c>
      <c r="R23" s="29">
        <f t="shared" ref="R23:S23" si="37">SUM(R19:R22)</f>
        <v>0</v>
      </c>
      <c r="S23" s="29">
        <f t="shared" si="37"/>
        <v>0</v>
      </c>
      <c r="T23" s="31">
        <f t="shared" si="33"/>
        <v>0</v>
      </c>
      <c r="U23" s="31">
        <f t="shared" si="5"/>
        <v>80</v>
      </c>
      <c r="V23" s="31">
        <f t="shared" si="5"/>
        <v>98</v>
      </c>
      <c r="W23" s="31">
        <f t="shared" si="5"/>
        <v>178</v>
      </c>
    </row>
    <row r="24" spans="2:23" s="20" customFormat="1" ht="18" customHeight="1" x14ac:dyDescent="0.2">
      <c r="B24" s="42"/>
      <c r="C24" s="54"/>
      <c r="D24" s="55" t="s">
        <v>33</v>
      </c>
      <c r="E24" s="56"/>
      <c r="F24" s="30">
        <f>F23</f>
        <v>80</v>
      </c>
      <c r="G24" s="30">
        <f>G23</f>
        <v>98</v>
      </c>
      <c r="H24" s="30">
        <f>H23</f>
        <v>178</v>
      </c>
      <c r="I24" s="30">
        <f t="shared" ref="I24:T24" si="38">I23</f>
        <v>0</v>
      </c>
      <c r="J24" s="30">
        <f t="shared" si="38"/>
        <v>0</v>
      </c>
      <c r="K24" s="30">
        <f t="shared" si="38"/>
        <v>0</v>
      </c>
      <c r="L24" s="30">
        <f t="shared" si="38"/>
        <v>0</v>
      </c>
      <c r="M24" s="30">
        <f t="shared" si="38"/>
        <v>0</v>
      </c>
      <c r="N24" s="30">
        <f t="shared" si="38"/>
        <v>0</v>
      </c>
      <c r="O24" s="30">
        <f t="shared" si="38"/>
        <v>0</v>
      </c>
      <c r="P24" s="30">
        <f t="shared" si="38"/>
        <v>0</v>
      </c>
      <c r="Q24" s="30">
        <f t="shared" si="38"/>
        <v>0</v>
      </c>
      <c r="R24" s="30">
        <f t="shared" si="38"/>
        <v>0</v>
      </c>
      <c r="S24" s="30">
        <f t="shared" si="38"/>
        <v>0</v>
      </c>
      <c r="T24" s="30">
        <f t="shared" si="38"/>
        <v>0</v>
      </c>
      <c r="U24" s="30">
        <f t="shared" si="5"/>
        <v>80</v>
      </c>
      <c r="V24" s="30">
        <f t="shared" si="5"/>
        <v>98</v>
      </c>
      <c r="W24" s="30">
        <f t="shared" si="5"/>
        <v>178</v>
      </c>
    </row>
    <row r="25" spans="2:23" s="20" customFormat="1" ht="18" customHeight="1" x14ac:dyDescent="0.2">
      <c r="B25" s="43"/>
      <c r="C25" s="36" t="s">
        <v>208</v>
      </c>
      <c r="D25" s="37"/>
      <c r="E25" s="38"/>
      <c r="F25" s="32">
        <f>SUM(F10,F13,F18,F24)</f>
        <v>229</v>
      </c>
      <c r="G25" s="32">
        <f>SUM(G10,G13,G18,G24)</f>
        <v>244</v>
      </c>
      <c r="H25" s="32">
        <f>SUM(H10,H13,H18,H24)</f>
        <v>473</v>
      </c>
      <c r="I25" s="32">
        <f t="shared" ref="I25:T25" si="39">SUM(I10,I13,I18,I24)</f>
        <v>0</v>
      </c>
      <c r="J25" s="32">
        <f t="shared" si="39"/>
        <v>0</v>
      </c>
      <c r="K25" s="32">
        <f t="shared" si="39"/>
        <v>0</v>
      </c>
      <c r="L25" s="32">
        <f t="shared" si="39"/>
        <v>0</v>
      </c>
      <c r="M25" s="32">
        <f t="shared" si="39"/>
        <v>0</v>
      </c>
      <c r="N25" s="32">
        <f t="shared" si="39"/>
        <v>0</v>
      </c>
      <c r="O25" s="32">
        <f t="shared" si="39"/>
        <v>0</v>
      </c>
      <c r="P25" s="32">
        <f t="shared" si="39"/>
        <v>0</v>
      </c>
      <c r="Q25" s="32">
        <f t="shared" si="39"/>
        <v>0</v>
      </c>
      <c r="R25" s="32">
        <f t="shared" si="39"/>
        <v>0</v>
      </c>
      <c r="S25" s="32">
        <f t="shared" si="39"/>
        <v>0</v>
      </c>
      <c r="T25" s="32">
        <f t="shared" si="39"/>
        <v>0</v>
      </c>
      <c r="U25" s="32">
        <f t="shared" si="5"/>
        <v>229</v>
      </c>
      <c r="V25" s="32">
        <f t="shared" si="5"/>
        <v>244</v>
      </c>
      <c r="W25" s="32">
        <f t="shared" si="5"/>
        <v>473</v>
      </c>
    </row>
  </sheetData>
  <mergeCells count="21">
    <mergeCell ref="B3:W3"/>
    <mergeCell ref="F5:H5"/>
    <mergeCell ref="I5:K5"/>
    <mergeCell ref="L5:N5"/>
    <mergeCell ref="O5:Q5"/>
    <mergeCell ref="R5:T5"/>
    <mergeCell ref="U5:W5"/>
    <mergeCell ref="C19:C24"/>
    <mergeCell ref="D19:D23"/>
    <mergeCell ref="D24:E24"/>
    <mergeCell ref="C25:E25"/>
    <mergeCell ref="B7:B25"/>
    <mergeCell ref="C7:C10"/>
    <mergeCell ref="D7:D9"/>
    <mergeCell ref="D10:E10"/>
    <mergeCell ref="C11:C13"/>
    <mergeCell ref="D11:D12"/>
    <mergeCell ref="D13:E13"/>
    <mergeCell ref="C14:C18"/>
    <mergeCell ref="D14:D17"/>
    <mergeCell ref="D18:E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25"/>
  <sheetViews>
    <sheetView topLeftCell="C8" zoomScale="90" zoomScaleNormal="90" workbookViewId="0">
      <selection activeCell="D27" sqref="D27:K27"/>
    </sheetView>
  </sheetViews>
  <sheetFormatPr baseColWidth="10" defaultColWidth="11.42578125" defaultRowHeight="18" customHeight="1" x14ac:dyDescent="0.2"/>
  <cols>
    <col min="1" max="1" width="11.42578125" style="22"/>
    <col min="2" max="2" width="31.85546875" style="33" customWidth="1"/>
    <col min="3" max="3" width="20" style="34" customWidth="1"/>
    <col min="4" max="4" width="27.42578125" style="34" customWidth="1"/>
    <col min="5" max="5" width="36.85546875" style="33" customWidth="1"/>
    <col min="6" max="6" width="13.7109375" style="35" customWidth="1"/>
    <col min="7" max="19" width="11.42578125" style="35"/>
    <col min="20" max="20" width="13.140625" style="35" customWidth="1"/>
    <col min="21" max="23" width="11.42578125" style="35"/>
    <col min="24" max="16384" width="11.42578125" style="22"/>
  </cols>
  <sheetData>
    <row r="1" spans="2:23" ht="18" customHeight="1" x14ac:dyDescent="0.2">
      <c r="B1" s="20"/>
      <c r="C1" s="20"/>
      <c r="D1" s="20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2:23" ht="18" customHeight="1" x14ac:dyDescent="0.2">
      <c r="B2" s="20"/>
      <c r="C2" s="20"/>
      <c r="D2" s="20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2:23" ht="18" customHeight="1" x14ac:dyDescent="0.2">
      <c r="B3" s="57" t="s">
        <v>226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spans="2:23" ht="18" customHeight="1" x14ac:dyDescent="0.2">
      <c r="B4" s="20"/>
      <c r="C4" s="20"/>
      <c r="D4" s="20"/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2:23" s="24" customFormat="1" ht="23.25" customHeight="1" x14ac:dyDescent="0.25">
      <c r="B5" s="23"/>
      <c r="C5" s="23"/>
      <c r="D5" s="23"/>
      <c r="E5" s="23"/>
      <c r="F5" s="58" t="s">
        <v>1</v>
      </c>
      <c r="G5" s="58"/>
      <c r="H5" s="58"/>
      <c r="I5" s="59" t="s">
        <v>2</v>
      </c>
      <c r="J5" s="59"/>
      <c r="K5" s="59"/>
      <c r="L5" s="60" t="s">
        <v>3</v>
      </c>
      <c r="M5" s="60"/>
      <c r="N5" s="60"/>
      <c r="O5" s="61" t="s">
        <v>4</v>
      </c>
      <c r="P5" s="61"/>
      <c r="Q5" s="61"/>
      <c r="R5" s="62" t="s">
        <v>5</v>
      </c>
      <c r="S5" s="62"/>
      <c r="T5" s="62"/>
      <c r="U5" s="63" t="s">
        <v>6</v>
      </c>
      <c r="V5" s="63"/>
      <c r="W5" s="63"/>
    </row>
    <row r="6" spans="2:23" s="27" customFormat="1" ht="22.5" customHeight="1" x14ac:dyDescent="0.2">
      <c r="B6" s="25" t="s">
        <v>7</v>
      </c>
      <c r="C6" s="26" t="s">
        <v>8</v>
      </c>
      <c r="D6" s="25" t="s">
        <v>9</v>
      </c>
      <c r="E6" s="25" t="s">
        <v>10</v>
      </c>
      <c r="F6" s="25" t="s">
        <v>210</v>
      </c>
      <c r="G6" s="25" t="s">
        <v>11</v>
      </c>
      <c r="H6" s="25" t="s">
        <v>13</v>
      </c>
      <c r="I6" s="25" t="s">
        <v>210</v>
      </c>
      <c r="J6" s="25" t="s">
        <v>11</v>
      </c>
      <c r="K6" s="25" t="s">
        <v>13</v>
      </c>
      <c r="L6" s="25" t="s">
        <v>210</v>
      </c>
      <c r="M6" s="25" t="s">
        <v>11</v>
      </c>
      <c r="N6" s="25" t="s">
        <v>13</v>
      </c>
      <c r="O6" s="25" t="s">
        <v>210</v>
      </c>
      <c r="P6" s="25" t="s">
        <v>11</v>
      </c>
      <c r="Q6" s="25" t="s">
        <v>13</v>
      </c>
      <c r="R6" s="25" t="s">
        <v>210</v>
      </c>
      <c r="S6" s="25" t="s">
        <v>11</v>
      </c>
      <c r="T6" s="25" t="s">
        <v>13</v>
      </c>
      <c r="U6" s="25" t="s">
        <v>210</v>
      </c>
      <c r="V6" s="25" t="s">
        <v>11</v>
      </c>
      <c r="W6" s="25" t="s">
        <v>13</v>
      </c>
    </row>
    <row r="7" spans="2:23" s="20" customFormat="1" ht="18" customHeight="1" x14ac:dyDescent="0.2">
      <c r="B7" s="41" t="s">
        <v>14</v>
      </c>
      <c r="C7" s="52" t="s">
        <v>211</v>
      </c>
      <c r="D7" s="52" t="s">
        <v>212</v>
      </c>
      <c r="E7" s="5" t="s">
        <v>213</v>
      </c>
      <c r="F7" s="6">
        <v>73</v>
      </c>
      <c r="G7" s="6">
        <v>66</v>
      </c>
      <c r="H7" s="15">
        <f>SUM(F7:G7)</f>
        <v>139</v>
      </c>
      <c r="I7" s="6"/>
      <c r="J7" s="6"/>
      <c r="K7" s="15">
        <f t="shared" ref="K7:K9" si="0">SUM(I7:J7)</f>
        <v>0</v>
      </c>
      <c r="L7" s="6"/>
      <c r="M7" s="6"/>
      <c r="N7" s="15">
        <f t="shared" ref="N7:N9" si="1">SUM(L7:M7)</f>
        <v>0</v>
      </c>
      <c r="O7" s="6"/>
      <c r="P7" s="6"/>
      <c r="Q7" s="15">
        <f t="shared" ref="Q7:Q9" si="2">SUM(O7:P7)</f>
        <v>0</v>
      </c>
      <c r="R7" s="6"/>
      <c r="S7" s="6"/>
      <c r="T7" s="15">
        <f t="shared" ref="T7:T9" si="3">SUM(R7:S7)</f>
        <v>0</v>
      </c>
      <c r="U7" s="7">
        <f>SUM(F7,I7,L7,O7,R7)</f>
        <v>73</v>
      </c>
      <c r="V7" s="7">
        <f t="shared" ref="V7:W22" si="4">SUM(G7,J7,M7,P7,S7)</f>
        <v>66</v>
      </c>
      <c r="W7" s="7">
        <f t="shared" si="4"/>
        <v>139</v>
      </c>
    </row>
    <row r="8" spans="2:23" s="20" customFormat="1" ht="18" customHeight="1" x14ac:dyDescent="0.2">
      <c r="B8" s="42"/>
      <c r="C8" s="53"/>
      <c r="D8" s="53"/>
      <c r="E8" s="5" t="s">
        <v>214</v>
      </c>
      <c r="F8" s="6">
        <v>27</v>
      </c>
      <c r="G8" s="6">
        <v>29</v>
      </c>
      <c r="H8" s="15">
        <f>SUM(F8:G8)</f>
        <v>56</v>
      </c>
      <c r="I8" s="6"/>
      <c r="J8" s="6"/>
      <c r="K8" s="15">
        <f t="shared" si="0"/>
        <v>0</v>
      </c>
      <c r="L8" s="6"/>
      <c r="M8" s="6"/>
      <c r="N8" s="15">
        <f t="shared" si="1"/>
        <v>0</v>
      </c>
      <c r="O8" s="6"/>
      <c r="P8" s="6"/>
      <c r="Q8" s="15">
        <f t="shared" si="2"/>
        <v>0</v>
      </c>
      <c r="R8" s="6"/>
      <c r="S8" s="6"/>
      <c r="T8" s="15">
        <f t="shared" si="3"/>
        <v>0</v>
      </c>
      <c r="U8" s="7">
        <f t="shared" ref="U8:W25" si="5">SUM(F8,I8,L8,O8,R8)</f>
        <v>27</v>
      </c>
      <c r="V8" s="7">
        <f t="shared" si="4"/>
        <v>29</v>
      </c>
      <c r="W8" s="7">
        <f t="shared" si="4"/>
        <v>56</v>
      </c>
    </row>
    <row r="9" spans="2:23" s="20" customFormat="1" ht="18" customHeight="1" x14ac:dyDescent="0.2">
      <c r="B9" s="42"/>
      <c r="C9" s="53"/>
      <c r="D9" s="54"/>
      <c r="E9" s="28" t="s">
        <v>23</v>
      </c>
      <c r="F9" s="29">
        <f>SUM(F7:F8)</f>
        <v>100</v>
      </c>
      <c r="G9" s="29">
        <f>SUM(G7:G8)</f>
        <v>95</v>
      </c>
      <c r="H9" s="29">
        <f>SUM(F9:G9)</f>
        <v>195</v>
      </c>
      <c r="I9" s="29">
        <f t="shared" ref="I9:J9" si="6">SUM(I7:I8)</f>
        <v>0</v>
      </c>
      <c r="J9" s="29">
        <f t="shared" si="6"/>
        <v>0</v>
      </c>
      <c r="K9" s="29">
        <f t="shared" si="0"/>
        <v>0</v>
      </c>
      <c r="L9" s="29">
        <f t="shared" ref="L9:M9" si="7">SUM(L7:L8)</f>
        <v>0</v>
      </c>
      <c r="M9" s="29">
        <f t="shared" si="7"/>
        <v>0</v>
      </c>
      <c r="N9" s="29">
        <f t="shared" si="1"/>
        <v>0</v>
      </c>
      <c r="O9" s="29">
        <f t="shared" ref="O9:P9" si="8">SUM(O7:O8)</f>
        <v>0</v>
      </c>
      <c r="P9" s="29">
        <f t="shared" si="8"/>
        <v>0</v>
      </c>
      <c r="Q9" s="29">
        <f t="shared" si="2"/>
        <v>0</v>
      </c>
      <c r="R9" s="29">
        <f t="shared" ref="R9:S9" si="9">SUM(R7:R8)</f>
        <v>0</v>
      </c>
      <c r="S9" s="29">
        <f t="shared" si="9"/>
        <v>0</v>
      </c>
      <c r="T9" s="29">
        <f t="shared" si="3"/>
        <v>0</v>
      </c>
      <c r="U9" s="29">
        <f t="shared" si="5"/>
        <v>100</v>
      </c>
      <c r="V9" s="29">
        <f t="shared" si="4"/>
        <v>95</v>
      </c>
      <c r="W9" s="29">
        <f t="shared" si="4"/>
        <v>195</v>
      </c>
    </row>
    <row r="10" spans="2:23" s="20" customFormat="1" ht="18" customHeight="1" x14ac:dyDescent="0.2">
      <c r="B10" s="42"/>
      <c r="C10" s="54"/>
      <c r="D10" s="55" t="s">
        <v>33</v>
      </c>
      <c r="E10" s="56"/>
      <c r="F10" s="30">
        <f>F9</f>
        <v>100</v>
      </c>
      <c r="G10" s="30">
        <f>G9</f>
        <v>95</v>
      </c>
      <c r="H10" s="30">
        <f>H9</f>
        <v>195</v>
      </c>
      <c r="I10" s="30">
        <f t="shared" ref="I10:T10" si="10">I9</f>
        <v>0</v>
      </c>
      <c r="J10" s="30">
        <f t="shared" si="10"/>
        <v>0</v>
      </c>
      <c r="K10" s="30">
        <f t="shared" si="10"/>
        <v>0</v>
      </c>
      <c r="L10" s="30">
        <f t="shared" si="10"/>
        <v>0</v>
      </c>
      <c r="M10" s="30">
        <f t="shared" si="10"/>
        <v>0</v>
      </c>
      <c r="N10" s="30">
        <f t="shared" si="10"/>
        <v>0</v>
      </c>
      <c r="O10" s="30">
        <f t="shared" si="10"/>
        <v>0</v>
      </c>
      <c r="P10" s="30">
        <f t="shared" si="10"/>
        <v>0</v>
      </c>
      <c r="Q10" s="30">
        <f t="shared" si="10"/>
        <v>0</v>
      </c>
      <c r="R10" s="30">
        <f t="shared" si="10"/>
        <v>0</v>
      </c>
      <c r="S10" s="30">
        <f t="shared" si="10"/>
        <v>0</v>
      </c>
      <c r="T10" s="30">
        <f t="shared" si="10"/>
        <v>0</v>
      </c>
      <c r="U10" s="30">
        <f t="shared" si="5"/>
        <v>100</v>
      </c>
      <c r="V10" s="30">
        <f t="shared" si="4"/>
        <v>95</v>
      </c>
      <c r="W10" s="30">
        <f t="shared" si="4"/>
        <v>195</v>
      </c>
    </row>
    <row r="11" spans="2:23" s="20" customFormat="1" ht="18" customHeight="1" x14ac:dyDescent="0.2">
      <c r="B11" s="42"/>
      <c r="C11" s="52" t="s">
        <v>78</v>
      </c>
      <c r="D11" s="52" t="s">
        <v>215</v>
      </c>
      <c r="E11" s="5" t="s">
        <v>216</v>
      </c>
      <c r="F11" s="6"/>
      <c r="G11" s="6"/>
      <c r="H11" s="6">
        <f>SUM(F11:G11)</f>
        <v>0</v>
      </c>
      <c r="I11" s="6"/>
      <c r="J11" s="6"/>
      <c r="K11" s="6">
        <f t="shared" ref="K11:K12" si="11">SUM(I11:J11)</f>
        <v>0</v>
      </c>
      <c r="L11" s="6"/>
      <c r="M11" s="6"/>
      <c r="N11" s="6">
        <f t="shared" ref="N11:N12" si="12">SUM(L11:M11)</f>
        <v>0</v>
      </c>
      <c r="O11" s="6"/>
      <c r="P11" s="6"/>
      <c r="Q11" s="6">
        <f t="shared" ref="Q11:Q12" si="13">SUM(O11:P11)</f>
        <v>0</v>
      </c>
      <c r="R11" s="6"/>
      <c r="S11" s="6"/>
      <c r="T11" s="6">
        <f t="shared" ref="T11:T12" si="14">SUM(R11:S11)</f>
        <v>0</v>
      </c>
      <c r="U11" s="7">
        <f t="shared" si="5"/>
        <v>0</v>
      </c>
      <c r="V11" s="7">
        <f t="shared" si="4"/>
        <v>0</v>
      </c>
      <c r="W11" s="7">
        <f t="shared" si="4"/>
        <v>0</v>
      </c>
    </row>
    <row r="12" spans="2:23" s="20" customFormat="1" ht="18" customHeight="1" x14ac:dyDescent="0.2">
      <c r="B12" s="42"/>
      <c r="C12" s="53"/>
      <c r="D12" s="54"/>
      <c r="E12" s="28" t="s">
        <v>23</v>
      </c>
      <c r="F12" s="29">
        <f>SUM(F11:F11)</f>
        <v>0</v>
      </c>
      <c r="G12" s="29">
        <f>SUM(G11:G11)</f>
        <v>0</v>
      </c>
      <c r="H12" s="29">
        <f>SUM(F12:G12)</f>
        <v>0</v>
      </c>
      <c r="I12" s="29">
        <f t="shared" ref="I12:J12" si="15">SUM(I11:I11)</f>
        <v>0</v>
      </c>
      <c r="J12" s="29">
        <f t="shared" si="15"/>
        <v>0</v>
      </c>
      <c r="K12" s="29">
        <f t="shared" si="11"/>
        <v>0</v>
      </c>
      <c r="L12" s="29">
        <f t="shared" ref="L12:M12" si="16">SUM(L11:L11)</f>
        <v>0</v>
      </c>
      <c r="M12" s="29">
        <f t="shared" si="16"/>
        <v>0</v>
      </c>
      <c r="N12" s="29">
        <f t="shared" si="12"/>
        <v>0</v>
      </c>
      <c r="O12" s="29">
        <f t="shared" ref="O12:P12" si="17">SUM(O11:O11)</f>
        <v>0</v>
      </c>
      <c r="P12" s="29">
        <f t="shared" si="17"/>
        <v>0</v>
      </c>
      <c r="Q12" s="29">
        <f t="shared" si="13"/>
        <v>0</v>
      </c>
      <c r="R12" s="29">
        <f t="shared" ref="R12:S12" si="18">SUM(R11:R11)</f>
        <v>0</v>
      </c>
      <c r="S12" s="29">
        <f t="shared" si="18"/>
        <v>0</v>
      </c>
      <c r="T12" s="29">
        <f t="shared" si="14"/>
        <v>0</v>
      </c>
      <c r="U12" s="29">
        <f t="shared" si="5"/>
        <v>0</v>
      </c>
      <c r="V12" s="29">
        <f t="shared" si="4"/>
        <v>0</v>
      </c>
      <c r="W12" s="29">
        <f t="shared" si="4"/>
        <v>0</v>
      </c>
    </row>
    <row r="13" spans="2:23" s="20" customFormat="1" ht="18" customHeight="1" x14ac:dyDescent="0.2">
      <c r="B13" s="42"/>
      <c r="C13" s="54"/>
      <c r="D13" s="55" t="s">
        <v>33</v>
      </c>
      <c r="E13" s="56"/>
      <c r="F13" s="30">
        <f>F12</f>
        <v>0</v>
      </c>
      <c r="G13" s="30">
        <f>G12</f>
        <v>0</v>
      </c>
      <c r="H13" s="30">
        <f>H12</f>
        <v>0</v>
      </c>
      <c r="I13" s="30">
        <f t="shared" ref="I13:T13" si="19">I12</f>
        <v>0</v>
      </c>
      <c r="J13" s="30">
        <f t="shared" si="19"/>
        <v>0</v>
      </c>
      <c r="K13" s="30">
        <f t="shared" si="19"/>
        <v>0</v>
      </c>
      <c r="L13" s="30">
        <f t="shared" si="19"/>
        <v>0</v>
      </c>
      <c r="M13" s="30">
        <f t="shared" si="19"/>
        <v>0</v>
      </c>
      <c r="N13" s="30">
        <f t="shared" si="19"/>
        <v>0</v>
      </c>
      <c r="O13" s="30">
        <f t="shared" si="19"/>
        <v>0</v>
      </c>
      <c r="P13" s="30">
        <f t="shared" si="19"/>
        <v>0</v>
      </c>
      <c r="Q13" s="30">
        <f t="shared" si="19"/>
        <v>0</v>
      </c>
      <c r="R13" s="30">
        <f t="shared" si="19"/>
        <v>0</v>
      </c>
      <c r="S13" s="30">
        <f t="shared" si="19"/>
        <v>0</v>
      </c>
      <c r="T13" s="30">
        <f t="shared" si="19"/>
        <v>0</v>
      </c>
      <c r="U13" s="30">
        <f t="shared" si="5"/>
        <v>0</v>
      </c>
      <c r="V13" s="30">
        <f t="shared" si="4"/>
        <v>0</v>
      </c>
      <c r="W13" s="30">
        <f t="shared" si="4"/>
        <v>0</v>
      </c>
    </row>
    <row r="14" spans="2:23" s="20" customFormat="1" ht="18" customHeight="1" x14ac:dyDescent="0.2">
      <c r="B14" s="42"/>
      <c r="C14" s="52" t="s">
        <v>111</v>
      </c>
      <c r="D14" s="52" t="s">
        <v>217</v>
      </c>
      <c r="E14" s="5" t="s">
        <v>218</v>
      </c>
      <c r="F14" s="6">
        <v>22</v>
      </c>
      <c r="G14" s="6">
        <v>19</v>
      </c>
      <c r="H14" s="15">
        <f t="shared" ref="H14:H23" si="20">SUM(F14:G14)</f>
        <v>41</v>
      </c>
      <c r="I14" s="6"/>
      <c r="J14" s="6"/>
      <c r="K14" s="15">
        <f t="shared" ref="K14:K17" si="21">SUM(I14:J14)</f>
        <v>0</v>
      </c>
      <c r="L14" s="6"/>
      <c r="M14" s="6"/>
      <c r="N14" s="15">
        <f t="shared" ref="N14:N17" si="22">SUM(L14:M14)</f>
        <v>0</v>
      </c>
      <c r="O14" s="6"/>
      <c r="P14" s="6"/>
      <c r="Q14" s="15">
        <f t="shared" ref="Q14:Q17" si="23">SUM(O14:P14)</f>
        <v>0</v>
      </c>
      <c r="R14" s="6"/>
      <c r="S14" s="6"/>
      <c r="T14" s="15">
        <f t="shared" ref="T14:T17" si="24">SUM(R14:S14)</f>
        <v>0</v>
      </c>
      <c r="U14" s="7">
        <f t="shared" si="5"/>
        <v>22</v>
      </c>
      <c r="V14" s="7">
        <f t="shared" si="4"/>
        <v>19</v>
      </c>
      <c r="W14" s="7">
        <f t="shared" si="4"/>
        <v>41</v>
      </c>
    </row>
    <row r="15" spans="2:23" s="20" customFormat="1" ht="18" customHeight="1" x14ac:dyDescent="0.2">
      <c r="B15" s="42"/>
      <c r="C15" s="53"/>
      <c r="D15" s="53"/>
      <c r="E15" s="5" t="s">
        <v>219</v>
      </c>
      <c r="F15" s="6">
        <v>27</v>
      </c>
      <c r="G15" s="6">
        <v>31</v>
      </c>
      <c r="H15" s="15">
        <f t="shared" si="20"/>
        <v>58</v>
      </c>
      <c r="I15" s="6"/>
      <c r="J15" s="6"/>
      <c r="K15" s="15">
        <f t="shared" si="21"/>
        <v>0</v>
      </c>
      <c r="L15" s="6"/>
      <c r="M15" s="6"/>
      <c r="N15" s="15">
        <f t="shared" si="22"/>
        <v>0</v>
      </c>
      <c r="O15" s="6"/>
      <c r="P15" s="6"/>
      <c r="Q15" s="15">
        <f t="shared" si="23"/>
        <v>0</v>
      </c>
      <c r="R15" s="6"/>
      <c r="S15" s="6"/>
      <c r="T15" s="15">
        <f t="shared" si="24"/>
        <v>0</v>
      </c>
      <c r="U15" s="7">
        <f t="shared" si="5"/>
        <v>27</v>
      </c>
      <c r="V15" s="7">
        <f t="shared" si="4"/>
        <v>31</v>
      </c>
      <c r="W15" s="7">
        <f t="shared" si="4"/>
        <v>58</v>
      </c>
    </row>
    <row r="16" spans="2:23" s="20" customFormat="1" ht="18" customHeight="1" x14ac:dyDescent="0.2">
      <c r="B16" s="42"/>
      <c r="C16" s="53"/>
      <c r="D16" s="53"/>
      <c r="E16" s="5" t="s">
        <v>220</v>
      </c>
      <c r="F16" s="6"/>
      <c r="G16" s="6"/>
      <c r="H16" s="15">
        <f t="shared" si="20"/>
        <v>0</v>
      </c>
      <c r="I16" s="6"/>
      <c r="J16" s="6"/>
      <c r="K16" s="15">
        <f t="shared" si="21"/>
        <v>0</v>
      </c>
      <c r="L16" s="6"/>
      <c r="M16" s="6"/>
      <c r="N16" s="15">
        <f t="shared" si="22"/>
        <v>0</v>
      </c>
      <c r="O16" s="6"/>
      <c r="P16" s="6"/>
      <c r="Q16" s="15">
        <f t="shared" si="23"/>
        <v>0</v>
      </c>
      <c r="R16" s="6"/>
      <c r="S16" s="6"/>
      <c r="T16" s="15">
        <f t="shared" si="24"/>
        <v>0</v>
      </c>
      <c r="U16" s="7">
        <f t="shared" si="5"/>
        <v>0</v>
      </c>
      <c r="V16" s="7">
        <f t="shared" si="4"/>
        <v>0</v>
      </c>
      <c r="W16" s="7">
        <f t="shared" si="4"/>
        <v>0</v>
      </c>
    </row>
    <row r="17" spans="2:23" s="20" customFormat="1" ht="18" customHeight="1" x14ac:dyDescent="0.2">
      <c r="B17" s="42"/>
      <c r="C17" s="53"/>
      <c r="D17" s="54"/>
      <c r="E17" s="28" t="s">
        <v>23</v>
      </c>
      <c r="F17" s="29">
        <f>SUM(F14:F16)</f>
        <v>49</v>
      </c>
      <c r="G17" s="29">
        <f>SUM(G14:G16)</f>
        <v>50</v>
      </c>
      <c r="H17" s="31">
        <f t="shared" si="20"/>
        <v>99</v>
      </c>
      <c r="I17" s="29">
        <f t="shared" ref="I17:J17" si="25">SUM(I14:I16)</f>
        <v>0</v>
      </c>
      <c r="J17" s="29">
        <f t="shared" si="25"/>
        <v>0</v>
      </c>
      <c r="K17" s="31">
        <f t="shared" si="21"/>
        <v>0</v>
      </c>
      <c r="L17" s="29">
        <f t="shared" ref="L17:M17" si="26">SUM(L14:L16)</f>
        <v>0</v>
      </c>
      <c r="M17" s="29">
        <f t="shared" si="26"/>
        <v>0</v>
      </c>
      <c r="N17" s="31">
        <f t="shared" si="22"/>
        <v>0</v>
      </c>
      <c r="O17" s="29">
        <f t="shared" ref="O17:P17" si="27">SUM(O14:O16)</f>
        <v>0</v>
      </c>
      <c r="P17" s="29">
        <f t="shared" si="27"/>
        <v>0</v>
      </c>
      <c r="Q17" s="31">
        <f t="shared" si="23"/>
        <v>0</v>
      </c>
      <c r="R17" s="29">
        <f t="shared" ref="R17:S17" si="28">SUM(R14:R16)</f>
        <v>0</v>
      </c>
      <c r="S17" s="29">
        <f t="shared" si="28"/>
        <v>0</v>
      </c>
      <c r="T17" s="31">
        <f t="shared" si="24"/>
        <v>0</v>
      </c>
      <c r="U17" s="31">
        <f t="shared" si="5"/>
        <v>49</v>
      </c>
      <c r="V17" s="31">
        <f t="shared" si="4"/>
        <v>50</v>
      </c>
      <c r="W17" s="31">
        <f t="shared" si="4"/>
        <v>99</v>
      </c>
    </row>
    <row r="18" spans="2:23" s="20" customFormat="1" ht="18" customHeight="1" x14ac:dyDescent="0.2">
      <c r="B18" s="42"/>
      <c r="C18" s="54"/>
      <c r="D18" s="55" t="s">
        <v>33</v>
      </c>
      <c r="E18" s="56"/>
      <c r="F18" s="30">
        <f>F17</f>
        <v>49</v>
      </c>
      <c r="G18" s="30">
        <f>G17</f>
        <v>50</v>
      </c>
      <c r="H18" s="30">
        <f>H17</f>
        <v>99</v>
      </c>
      <c r="I18" s="30">
        <f t="shared" ref="I18:T18" si="29">I17</f>
        <v>0</v>
      </c>
      <c r="J18" s="30">
        <f t="shared" si="29"/>
        <v>0</v>
      </c>
      <c r="K18" s="30">
        <f t="shared" si="29"/>
        <v>0</v>
      </c>
      <c r="L18" s="30">
        <f t="shared" si="29"/>
        <v>0</v>
      </c>
      <c r="M18" s="30">
        <f t="shared" si="29"/>
        <v>0</v>
      </c>
      <c r="N18" s="30">
        <f t="shared" si="29"/>
        <v>0</v>
      </c>
      <c r="O18" s="30">
        <f t="shared" si="29"/>
        <v>0</v>
      </c>
      <c r="P18" s="30">
        <f t="shared" si="29"/>
        <v>0</v>
      </c>
      <c r="Q18" s="30">
        <f t="shared" si="29"/>
        <v>0</v>
      </c>
      <c r="R18" s="30">
        <f t="shared" si="29"/>
        <v>0</v>
      </c>
      <c r="S18" s="30">
        <f t="shared" si="29"/>
        <v>0</v>
      </c>
      <c r="T18" s="30">
        <f t="shared" si="29"/>
        <v>0</v>
      </c>
      <c r="U18" s="30">
        <f t="shared" si="5"/>
        <v>49</v>
      </c>
      <c r="V18" s="30">
        <f t="shared" si="4"/>
        <v>50</v>
      </c>
      <c r="W18" s="30">
        <f t="shared" si="4"/>
        <v>99</v>
      </c>
    </row>
    <row r="19" spans="2:23" s="20" customFormat="1" ht="18" customHeight="1" x14ac:dyDescent="0.2">
      <c r="B19" s="42"/>
      <c r="C19" s="52" t="s">
        <v>170</v>
      </c>
      <c r="D19" s="52" t="s">
        <v>221</v>
      </c>
      <c r="E19" s="5" t="s">
        <v>222</v>
      </c>
      <c r="F19" s="6">
        <v>24</v>
      </c>
      <c r="G19" s="6">
        <v>34</v>
      </c>
      <c r="H19" s="15">
        <f t="shared" si="20"/>
        <v>58</v>
      </c>
      <c r="I19" s="6"/>
      <c r="J19" s="6"/>
      <c r="K19" s="15">
        <f t="shared" ref="K19:K23" si="30">SUM(I19:J19)</f>
        <v>0</v>
      </c>
      <c r="L19" s="6"/>
      <c r="M19" s="6"/>
      <c r="N19" s="15">
        <f t="shared" ref="N19:N23" si="31">SUM(L19:M19)</f>
        <v>0</v>
      </c>
      <c r="O19" s="6"/>
      <c r="P19" s="6"/>
      <c r="Q19" s="15">
        <f t="shared" ref="Q19:Q23" si="32">SUM(O19:P19)</f>
        <v>0</v>
      </c>
      <c r="R19" s="6"/>
      <c r="S19" s="6"/>
      <c r="T19" s="15">
        <f t="shared" ref="T19:T23" si="33">SUM(R19:S19)</f>
        <v>0</v>
      </c>
      <c r="U19" s="7">
        <f t="shared" si="5"/>
        <v>24</v>
      </c>
      <c r="V19" s="7">
        <f t="shared" si="4"/>
        <v>34</v>
      </c>
      <c r="W19" s="7">
        <f t="shared" si="4"/>
        <v>58</v>
      </c>
    </row>
    <row r="20" spans="2:23" s="20" customFormat="1" ht="18" customHeight="1" x14ac:dyDescent="0.2">
      <c r="B20" s="42"/>
      <c r="C20" s="53"/>
      <c r="D20" s="53"/>
      <c r="E20" s="5" t="s">
        <v>223</v>
      </c>
      <c r="F20" s="6">
        <v>29</v>
      </c>
      <c r="G20" s="6">
        <v>36</v>
      </c>
      <c r="H20" s="15">
        <f t="shared" si="20"/>
        <v>65</v>
      </c>
      <c r="I20" s="6"/>
      <c r="J20" s="6"/>
      <c r="K20" s="15">
        <f t="shared" si="30"/>
        <v>0</v>
      </c>
      <c r="L20" s="6"/>
      <c r="M20" s="6"/>
      <c r="N20" s="15">
        <f t="shared" si="31"/>
        <v>0</v>
      </c>
      <c r="O20" s="6"/>
      <c r="P20" s="6"/>
      <c r="Q20" s="15">
        <f t="shared" si="32"/>
        <v>0</v>
      </c>
      <c r="R20" s="6"/>
      <c r="S20" s="6"/>
      <c r="T20" s="15">
        <f t="shared" si="33"/>
        <v>0</v>
      </c>
      <c r="U20" s="7">
        <f t="shared" si="5"/>
        <v>29</v>
      </c>
      <c r="V20" s="7">
        <f t="shared" si="4"/>
        <v>36</v>
      </c>
      <c r="W20" s="7">
        <f t="shared" si="4"/>
        <v>65</v>
      </c>
    </row>
    <row r="21" spans="2:23" s="20" customFormat="1" ht="18" customHeight="1" x14ac:dyDescent="0.2">
      <c r="B21" s="42"/>
      <c r="C21" s="53"/>
      <c r="D21" s="53"/>
      <c r="E21" s="5" t="s">
        <v>224</v>
      </c>
      <c r="F21" s="6">
        <v>1</v>
      </c>
      <c r="G21" s="6">
        <v>1</v>
      </c>
      <c r="H21" s="15">
        <f>SUM(F21:G21)</f>
        <v>2</v>
      </c>
      <c r="I21" s="6"/>
      <c r="J21" s="6"/>
      <c r="K21" s="15">
        <f t="shared" si="30"/>
        <v>0</v>
      </c>
      <c r="L21" s="6"/>
      <c r="M21" s="6"/>
      <c r="N21" s="15">
        <f t="shared" si="31"/>
        <v>0</v>
      </c>
      <c r="O21" s="6"/>
      <c r="P21" s="6"/>
      <c r="Q21" s="15">
        <f t="shared" si="32"/>
        <v>0</v>
      </c>
      <c r="R21" s="6"/>
      <c r="S21" s="6"/>
      <c r="T21" s="15">
        <f t="shared" si="33"/>
        <v>0</v>
      </c>
      <c r="U21" s="7">
        <f t="shared" si="5"/>
        <v>1</v>
      </c>
      <c r="V21" s="7">
        <f t="shared" si="4"/>
        <v>1</v>
      </c>
      <c r="W21" s="7">
        <f t="shared" si="4"/>
        <v>2</v>
      </c>
    </row>
    <row r="22" spans="2:23" s="20" customFormat="1" ht="18" customHeight="1" x14ac:dyDescent="0.2">
      <c r="B22" s="42"/>
      <c r="C22" s="53"/>
      <c r="D22" s="53"/>
      <c r="E22" s="5" t="s">
        <v>225</v>
      </c>
      <c r="F22" s="6">
        <v>26</v>
      </c>
      <c r="G22" s="6">
        <v>27</v>
      </c>
      <c r="H22" s="15">
        <f t="shared" si="20"/>
        <v>53</v>
      </c>
      <c r="I22" s="6"/>
      <c r="J22" s="6"/>
      <c r="K22" s="15">
        <f t="shared" si="30"/>
        <v>0</v>
      </c>
      <c r="L22" s="6"/>
      <c r="M22" s="6"/>
      <c r="N22" s="15">
        <f t="shared" si="31"/>
        <v>0</v>
      </c>
      <c r="O22" s="6"/>
      <c r="P22" s="6"/>
      <c r="Q22" s="15">
        <f t="shared" si="32"/>
        <v>0</v>
      </c>
      <c r="R22" s="6"/>
      <c r="S22" s="6"/>
      <c r="T22" s="15">
        <f t="shared" si="33"/>
        <v>0</v>
      </c>
      <c r="U22" s="7">
        <f t="shared" si="5"/>
        <v>26</v>
      </c>
      <c r="V22" s="7">
        <f t="shared" si="4"/>
        <v>27</v>
      </c>
      <c r="W22" s="7">
        <f t="shared" si="4"/>
        <v>53</v>
      </c>
    </row>
    <row r="23" spans="2:23" s="20" customFormat="1" ht="18" customHeight="1" x14ac:dyDescent="0.2">
      <c r="B23" s="42"/>
      <c r="C23" s="53"/>
      <c r="D23" s="54"/>
      <c r="E23" s="28" t="s">
        <v>23</v>
      </c>
      <c r="F23" s="29">
        <f>SUM(F19:F22)</f>
        <v>80</v>
      </c>
      <c r="G23" s="29">
        <f>SUM(G19:G22)</f>
        <v>98</v>
      </c>
      <c r="H23" s="31">
        <f t="shared" si="20"/>
        <v>178</v>
      </c>
      <c r="I23" s="29">
        <f t="shared" ref="I23:J23" si="34">SUM(I19:I22)</f>
        <v>0</v>
      </c>
      <c r="J23" s="29">
        <f t="shared" si="34"/>
        <v>0</v>
      </c>
      <c r="K23" s="31">
        <f t="shared" si="30"/>
        <v>0</v>
      </c>
      <c r="L23" s="29">
        <f t="shared" ref="L23:M23" si="35">SUM(L19:L22)</f>
        <v>0</v>
      </c>
      <c r="M23" s="29">
        <f t="shared" si="35"/>
        <v>0</v>
      </c>
      <c r="N23" s="31">
        <f t="shared" si="31"/>
        <v>0</v>
      </c>
      <c r="O23" s="29">
        <f t="shared" ref="O23:P23" si="36">SUM(O19:O22)</f>
        <v>0</v>
      </c>
      <c r="P23" s="29">
        <f t="shared" si="36"/>
        <v>0</v>
      </c>
      <c r="Q23" s="31">
        <f t="shared" si="32"/>
        <v>0</v>
      </c>
      <c r="R23" s="29">
        <f t="shared" ref="R23:S23" si="37">SUM(R19:R22)</f>
        <v>0</v>
      </c>
      <c r="S23" s="29">
        <f t="shared" si="37"/>
        <v>0</v>
      </c>
      <c r="T23" s="31">
        <f t="shared" si="33"/>
        <v>0</v>
      </c>
      <c r="U23" s="31">
        <f t="shared" si="5"/>
        <v>80</v>
      </c>
      <c r="V23" s="31">
        <f t="shared" si="5"/>
        <v>98</v>
      </c>
      <c r="W23" s="31">
        <f t="shared" si="5"/>
        <v>178</v>
      </c>
    </row>
    <row r="24" spans="2:23" s="20" customFormat="1" ht="18" customHeight="1" x14ac:dyDescent="0.2">
      <c r="B24" s="42"/>
      <c r="C24" s="54"/>
      <c r="D24" s="55" t="s">
        <v>33</v>
      </c>
      <c r="E24" s="56"/>
      <c r="F24" s="30">
        <f>F23</f>
        <v>80</v>
      </c>
      <c r="G24" s="30">
        <f>G23</f>
        <v>98</v>
      </c>
      <c r="H24" s="30">
        <f>H23</f>
        <v>178</v>
      </c>
      <c r="I24" s="30">
        <f t="shared" ref="I24:T24" si="38">I23</f>
        <v>0</v>
      </c>
      <c r="J24" s="30">
        <f t="shared" si="38"/>
        <v>0</v>
      </c>
      <c r="K24" s="30">
        <f t="shared" si="38"/>
        <v>0</v>
      </c>
      <c r="L24" s="30">
        <f t="shared" si="38"/>
        <v>0</v>
      </c>
      <c r="M24" s="30">
        <f t="shared" si="38"/>
        <v>0</v>
      </c>
      <c r="N24" s="30">
        <f t="shared" si="38"/>
        <v>0</v>
      </c>
      <c r="O24" s="30">
        <f t="shared" si="38"/>
        <v>0</v>
      </c>
      <c r="P24" s="30">
        <f t="shared" si="38"/>
        <v>0</v>
      </c>
      <c r="Q24" s="30">
        <f t="shared" si="38"/>
        <v>0</v>
      </c>
      <c r="R24" s="30">
        <f t="shared" si="38"/>
        <v>0</v>
      </c>
      <c r="S24" s="30">
        <f t="shared" si="38"/>
        <v>0</v>
      </c>
      <c r="T24" s="30">
        <f t="shared" si="38"/>
        <v>0</v>
      </c>
      <c r="U24" s="30">
        <f t="shared" si="5"/>
        <v>80</v>
      </c>
      <c r="V24" s="30">
        <f t="shared" si="5"/>
        <v>98</v>
      </c>
      <c r="W24" s="30">
        <f t="shared" si="5"/>
        <v>178</v>
      </c>
    </row>
    <row r="25" spans="2:23" s="20" customFormat="1" ht="18" customHeight="1" x14ac:dyDescent="0.2">
      <c r="B25" s="43"/>
      <c r="C25" s="36" t="s">
        <v>208</v>
      </c>
      <c r="D25" s="37"/>
      <c r="E25" s="38"/>
      <c r="F25" s="32">
        <f>SUM(F10,F13,F18,F24)</f>
        <v>229</v>
      </c>
      <c r="G25" s="32">
        <f>SUM(G10,G13,G18,G24)</f>
        <v>243</v>
      </c>
      <c r="H25" s="32">
        <f>SUM(H10,H13,H18,H24)</f>
        <v>472</v>
      </c>
      <c r="I25" s="32">
        <f t="shared" ref="I25:T25" si="39">SUM(I10,I13,I18,I24)</f>
        <v>0</v>
      </c>
      <c r="J25" s="32">
        <f t="shared" si="39"/>
        <v>0</v>
      </c>
      <c r="K25" s="32">
        <f t="shared" si="39"/>
        <v>0</v>
      </c>
      <c r="L25" s="32">
        <f t="shared" si="39"/>
        <v>0</v>
      </c>
      <c r="M25" s="32">
        <f t="shared" si="39"/>
        <v>0</v>
      </c>
      <c r="N25" s="32">
        <f t="shared" si="39"/>
        <v>0</v>
      </c>
      <c r="O25" s="32">
        <f t="shared" si="39"/>
        <v>0</v>
      </c>
      <c r="P25" s="32">
        <f t="shared" si="39"/>
        <v>0</v>
      </c>
      <c r="Q25" s="32">
        <f t="shared" si="39"/>
        <v>0</v>
      </c>
      <c r="R25" s="32">
        <f t="shared" si="39"/>
        <v>0</v>
      </c>
      <c r="S25" s="32">
        <f t="shared" si="39"/>
        <v>0</v>
      </c>
      <c r="T25" s="32">
        <f t="shared" si="39"/>
        <v>0</v>
      </c>
      <c r="U25" s="32">
        <f t="shared" si="5"/>
        <v>229</v>
      </c>
      <c r="V25" s="32">
        <f t="shared" si="5"/>
        <v>243</v>
      </c>
      <c r="W25" s="32">
        <f t="shared" si="5"/>
        <v>472</v>
      </c>
    </row>
  </sheetData>
  <mergeCells count="21">
    <mergeCell ref="B3:W3"/>
    <mergeCell ref="F5:H5"/>
    <mergeCell ref="I5:K5"/>
    <mergeCell ref="L5:N5"/>
    <mergeCell ref="O5:Q5"/>
    <mergeCell ref="R5:T5"/>
    <mergeCell ref="U5:W5"/>
    <mergeCell ref="C19:C24"/>
    <mergeCell ref="D19:D23"/>
    <mergeCell ref="D24:E24"/>
    <mergeCell ref="C25:E25"/>
    <mergeCell ref="B7:B25"/>
    <mergeCell ref="C7:C10"/>
    <mergeCell ref="D7:D9"/>
    <mergeCell ref="D10:E10"/>
    <mergeCell ref="C11:C13"/>
    <mergeCell ref="D11:D12"/>
    <mergeCell ref="D13:E13"/>
    <mergeCell ref="C14:C18"/>
    <mergeCell ref="D14:D17"/>
    <mergeCell ref="D18:E1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STAT ECOLE CEP 2025 HS</vt:lpstr>
      <vt:lpstr>STAT ECOLE FSLC 2025 HS</vt:lpstr>
      <vt:lpstr>STAT ECOLE CEE 2025 HS</vt:lpstr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NGUEMO</dc:creator>
  <cp:lastModifiedBy>LENOVO</cp:lastModifiedBy>
  <dcterms:created xsi:type="dcterms:W3CDTF">2025-01-21T05:28:30Z</dcterms:created>
  <dcterms:modified xsi:type="dcterms:W3CDTF">2025-02-23T12:53:25Z</dcterms:modified>
</cp:coreProperties>
</file>